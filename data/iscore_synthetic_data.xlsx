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r260551\Downloads\"/>
    </mc:Choice>
  </mc:AlternateContent>
  <xr:revisionPtr revIDLastSave="0" documentId="13_ncr:1_{197FD4A6-4FAF-493A-973F-B56EBAD73583}" xr6:coauthVersionLast="47" xr6:coauthVersionMax="47" xr10:uidLastSave="{00000000-0000-0000-0000-000000000000}"/>
  <bookViews>
    <workbookView xWindow="-96" yWindow="-96" windowWidth="23232" windowHeight="13872" tabRatio="500" firstSheet="1" activeTab="1" xr2:uid="{00000000-000D-0000-FFFF-FFFF00000000}"/>
  </bookViews>
  <sheets>
    <sheet name="Summary" sheetId="12" r:id="rId1"/>
    <sheet name="Questions for LLM" sheetId="16" r:id="rId2"/>
    <sheet name="schema" sheetId="1" r:id="rId3"/>
    <sheet name="fact_disputes" sheetId="13" r:id="rId4"/>
    <sheet name="fact_self_inquiries" sheetId="14" r:id="rId5"/>
    <sheet name="fact_legal_actions" sheetId="15" r:id="rId6"/>
    <sheet name="dim_customer" sheetId="2" r:id="rId7"/>
    <sheet name="dim_lender" sheetId="3" r:id="rId8"/>
    <sheet name="dim_date" sheetId="4" r:id="rId9"/>
    <sheet name="dim_account_type" sheetId="5" r:id="rId10"/>
    <sheet name="fact_tradeline" sheetId="6" r:id="rId11"/>
    <sheet name="fact_payment_history" sheetId="7" r:id="rId12"/>
    <sheet name="fact_collections" sheetId="18" state="hidden" r:id="rId13"/>
    <sheet name="fact_credit_score" sheetId="8" r:id="rId14"/>
    <sheet name="fact_score_factors" sheetId="9" r:id="rId15"/>
    <sheet name="fact_inquiries" sheetId="10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1" i="4" l="1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<sst xmlns="http://schemas.openxmlformats.org/spreadsheetml/2006/main" count="2575" uniqueCount="1017">
  <si>
    <t>iScore Credit Bureau Chatbot — Data Warehouse Schema</t>
  </si>
  <si>
    <t>dim_customer</t>
  </si>
  <si>
    <t>Column</t>
  </si>
  <si>
    <t>Type</t>
  </si>
  <si>
    <t>Description</t>
  </si>
  <si>
    <t>Example</t>
  </si>
  <si>
    <t>customer_id</t>
  </si>
  <si>
    <t>INTEGER (PK)</t>
  </si>
  <si>
    <t>Surrogate key</t>
  </si>
  <si>
    <t>1042</t>
  </si>
  <si>
    <t>national_id</t>
  </si>
  <si>
    <t>VARCHAR(20)</t>
  </si>
  <si>
    <t>Government ID number, used for identity matching</t>
  </si>
  <si>
    <t>29001011234567</t>
  </si>
  <si>
    <t>first_name</t>
  </si>
  <si>
    <t>VARCHAR(50)</t>
  </si>
  <si>
    <t>Mona</t>
  </si>
  <si>
    <t>last_name</t>
  </si>
  <si>
    <t>Farouk</t>
  </si>
  <si>
    <t>date_of_birth</t>
  </si>
  <si>
    <t>DATE</t>
  </si>
  <si>
    <t>1990-01-01</t>
  </si>
  <si>
    <t>address</t>
  </si>
  <si>
    <t>VARCHAR(150)</t>
  </si>
  <si>
    <t>Current address on file</t>
  </si>
  <si>
    <t>12 Talaat Harb St, Cairo</t>
  </si>
  <si>
    <t>employer</t>
  </si>
  <si>
    <t>VARCHAR(100)</t>
  </si>
  <si>
    <t>Reported employer, used for ID verification only, not scoring</t>
  </si>
  <si>
    <t>Cairo Bank</t>
  </si>
  <si>
    <t>file_since_date</t>
  </si>
  <si>
    <t>Date this person first appeared in the bureau's database</t>
  </si>
  <si>
    <t>2015-03-01</t>
  </si>
  <si>
    <t>dim_lender</t>
  </si>
  <si>
    <t>lender_id</t>
  </si>
  <si>
    <t>12</t>
  </si>
  <si>
    <t>lender_name</t>
  </si>
  <si>
    <t>Visa Bank</t>
  </si>
  <si>
    <t>lender_type</t>
  </si>
  <si>
    <t>VARCHAR(30)</t>
  </si>
  <si>
    <t>'commercial_bank','finance_company','microfinance','retailer'</t>
  </si>
  <si>
    <t>commercial_bank</t>
  </si>
  <si>
    <t>is_bureau_member</t>
  </si>
  <si>
    <t>BOOLEAN</t>
  </si>
  <si>
    <t>Whether they report data to the bureau</t>
  </si>
  <si>
    <t>TRUE</t>
  </si>
  <si>
    <t>dim_date</t>
  </si>
  <si>
    <t>date_key</t>
  </si>
  <si>
    <t>Format YYYYMMDD</t>
  </si>
  <si>
    <t>20260315</t>
  </si>
  <si>
    <t>full_date</t>
  </si>
  <si>
    <t>2026-03-15</t>
  </si>
  <si>
    <t>day_of_week</t>
  </si>
  <si>
    <t>VARCHAR(10)</t>
  </si>
  <si>
    <t>Sunday</t>
  </si>
  <si>
    <t>day_of_month</t>
  </si>
  <si>
    <t>INTEGER</t>
  </si>
  <si>
    <t>1-31</t>
  </si>
  <si>
    <t>15</t>
  </si>
  <si>
    <t>month_num</t>
  </si>
  <si>
    <t>1-12</t>
  </si>
  <si>
    <t>3</t>
  </si>
  <si>
    <t>month_name</t>
  </si>
  <si>
    <t>March</t>
  </si>
  <si>
    <t>quarter</t>
  </si>
  <si>
    <t>1-4</t>
  </si>
  <si>
    <t>1</t>
  </si>
  <si>
    <t>year</t>
  </si>
  <si>
    <t>2026</t>
  </si>
  <si>
    <t>is_weekend</t>
  </si>
  <si>
    <t>FALSE</t>
  </si>
  <si>
    <t>is_score_update_day</t>
  </si>
  <si>
    <t>I-Score refreshes ~3x/week; flags actual update days</t>
  </si>
  <si>
    <t>dim_account_type</t>
  </si>
  <si>
    <t>account_type_id</t>
  </si>
  <si>
    <t>account_type_name</t>
  </si>
  <si>
    <t>credit_card</t>
  </si>
  <si>
    <t>credit_category</t>
  </si>
  <si>
    <t>'revolving' or 'installment' — drives the credit-mix score factor</t>
  </si>
  <si>
    <t>revolving</t>
  </si>
  <si>
    <t>tradeline_id</t>
  </si>
  <si>
    <t>BIGINT (PK)</t>
  </si>
  <si>
    <t>5001</t>
  </si>
  <si>
    <t>INTEGER (FK)</t>
  </si>
  <si>
    <t>3 (credit_card)</t>
  </si>
  <si>
    <t>open_date</t>
  </si>
  <si>
    <t>2021-03-15</t>
  </si>
  <si>
    <t>close_date</t>
  </si>
  <si>
    <t>NULL if still open</t>
  </si>
  <si>
    <t>NULL</t>
  </si>
  <si>
    <t>credit_limit_or_loan_amount</t>
  </si>
  <si>
    <t>DECIMAL(14,2)</t>
  </si>
  <si>
    <t>Limit for revolving, original principal for installment</t>
  </si>
  <si>
    <t>20000.00</t>
  </si>
  <si>
    <t>outstanding_balance</t>
  </si>
  <si>
    <t>6400.00</t>
  </si>
  <si>
    <t>status</t>
  </si>
  <si>
    <t>'active','closed','delinquent_30','delinquent_90','charged_off'</t>
  </si>
  <si>
    <t>active</t>
  </si>
  <si>
    <t>available_credit</t>
  </si>
  <si>
    <t>13600.00</t>
  </si>
  <si>
    <t>fact_payment_history</t>
  </si>
  <si>
    <t>INTEGER (FK, PK part)</t>
  </si>
  <si>
    <t>Grain: one row per tradeline per month</t>
  </si>
  <si>
    <t>The month this record covers</t>
  </si>
  <si>
    <t>20260201</t>
  </si>
  <si>
    <t>payment_status</t>
  </si>
  <si>
    <t>VARCHAR(15)</t>
  </si>
  <si>
    <t>'on_time','late_30','late_60','late_90','missed'</t>
  </si>
  <si>
    <t>on_time</t>
  </si>
  <si>
    <t>amount_due</t>
  </si>
  <si>
    <t>DECIMAL(12,2)</t>
  </si>
  <si>
    <t>500.00</t>
  </si>
  <si>
    <t>amount_paid</t>
  </si>
  <si>
    <t>fact_credit_score</t>
  </si>
  <si>
    <t>score_id</t>
  </si>
  <si>
    <t>Grain: one row per customer per score calculation</t>
  </si>
  <si>
    <t>90042</t>
  </si>
  <si>
    <t>score_value</t>
  </si>
  <si>
    <t>300-850 range</t>
  </si>
  <si>
    <t>712</t>
  </si>
  <si>
    <t>fact_score_factors</t>
  </si>
  <si>
    <t>Links back to fact_credit_score</t>
  </si>
  <si>
    <t>factor_name</t>
  </si>
  <si>
    <t>VARCHAR(30), PK part</t>
  </si>
  <si>
    <t>'payment_history','amounts_owed','length_of_history','new_credit','credit_mix'</t>
  </si>
  <si>
    <t>amounts_owed</t>
  </si>
  <si>
    <t>weight_pct</t>
  </si>
  <si>
    <t>DECIMAL(4,1)</t>
  </si>
  <si>
    <t>Factor's weight in the overall model</t>
  </si>
  <si>
    <t>30.0</t>
  </si>
  <si>
    <t>factor_score_contribution</t>
  </si>
  <si>
    <t>DECIMAL(6,2)</t>
  </si>
  <si>
    <t>This factor's contribution to score_value</t>
  </si>
  <si>
    <t>195.00</t>
  </si>
  <si>
    <t>impact</t>
  </si>
  <si>
    <t>'positive','neutral','negative' — quick-read flag</t>
  </si>
  <si>
    <t>negative</t>
  </si>
  <si>
    <t>fact_inquiries</t>
  </si>
  <si>
    <t>inquiry_id</t>
  </si>
  <si>
    <t>Grain: one row per inquiry event</t>
  </si>
  <si>
    <t>77123</t>
  </si>
  <si>
    <t>Who made the inquiry</t>
  </si>
  <si>
    <t>20260110</t>
  </si>
  <si>
    <t>inquiry_type</t>
  </si>
  <si>
    <t>'hard' or 'soft'</t>
  </si>
  <si>
    <t>hard</t>
  </si>
  <si>
    <t>fact_collections</t>
  </si>
  <si>
    <t>collection_id</t>
  </si>
  <si>
    <t>Grain: one row per account sent to collections</t>
  </si>
  <si>
    <t>3301</t>
  </si>
  <si>
    <t>Original account this collection came from</t>
  </si>
  <si>
    <t>5004</t>
  </si>
  <si>
    <t>collection_agency_name</t>
  </si>
  <si>
    <t>SwiftRecover Agency</t>
  </si>
  <si>
    <t>original_creditor_lender_id</t>
  </si>
  <si>
    <t>Often same as tradeline's lender, but can differ if debt was sold</t>
  </si>
  <si>
    <t>19</t>
  </si>
  <si>
    <t>amount_owed</t>
  </si>
  <si>
    <t>4200.00</t>
  </si>
  <si>
    <t>date_placed</t>
  </si>
  <si>
    <t>2025-06-01</t>
  </si>
  <si>
    <t>'open','paid','settled'</t>
  </si>
  <si>
    <t>open</t>
  </si>
  <si>
    <t>Omar</t>
  </si>
  <si>
    <t>1982-04-08</t>
  </si>
  <si>
    <t>28 Talaat Harb St, Cairo</t>
  </si>
  <si>
    <t>Delta Foods Co</t>
  </si>
  <si>
    <t>2014-12-04</t>
  </si>
  <si>
    <t>Hassan</t>
  </si>
  <si>
    <t>Nour</t>
  </si>
  <si>
    <t>1997-10-01</t>
  </si>
  <si>
    <t>29 Tahrir Sq, Tanta</t>
  </si>
  <si>
    <t>2020-04-23</t>
  </si>
  <si>
    <t>Rania</t>
  </si>
  <si>
    <t>Zaki</t>
  </si>
  <si>
    <t>1986-05-05</t>
  </si>
  <si>
    <t>7 Corniche Ave, Aswan</t>
  </si>
  <si>
    <t>Giza University</t>
  </si>
  <si>
    <t>2015-06-04</t>
  </si>
  <si>
    <t>Yasmin</t>
  </si>
  <si>
    <t>El Sayed</t>
  </si>
  <si>
    <t>1994-09-04</t>
  </si>
  <si>
    <t>41 Tahrir Sq, Aswan</t>
  </si>
  <si>
    <t>2018-02-18</t>
  </si>
  <si>
    <t>Dina</t>
  </si>
  <si>
    <t>Ibrahim</t>
  </si>
  <si>
    <t>1967-11-08</t>
  </si>
  <si>
    <t>25 Corniche Ave, Ismailia</t>
  </si>
  <si>
    <t>Alexandria Textiles</t>
  </si>
  <si>
    <t>2016-02-28</t>
  </si>
  <si>
    <t>Fathy</t>
  </si>
  <si>
    <t>1987-04-22</t>
  </si>
  <si>
    <t>41 El Nasr Rd, Suez</t>
  </si>
  <si>
    <t>Pyramid Steel</t>
  </si>
  <si>
    <t>2016-12-22</t>
  </si>
  <si>
    <t>Mostafa</t>
  </si>
  <si>
    <t>1989-05-21</t>
  </si>
  <si>
    <t>50 Talaat Harb St, Mansoura</t>
  </si>
  <si>
    <t>2020-04-22</t>
  </si>
  <si>
    <t>Mai</t>
  </si>
  <si>
    <t>Hassanein</t>
  </si>
  <si>
    <t>1982-02-07</t>
  </si>
  <si>
    <t>32 Ramses St, Ismailia</t>
  </si>
  <si>
    <t>Nile Telecom</t>
  </si>
  <si>
    <t>2021-12-11</t>
  </si>
  <si>
    <t>Hussein</t>
  </si>
  <si>
    <t>1980-12-18</t>
  </si>
  <si>
    <t>26 Corniche Ave, Mansoura</t>
  </si>
  <si>
    <t>2020-05-24</t>
  </si>
  <si>
    <t>Reem</t>
  </si>
  <si>
    <t>El Sherif</t>
  </si>
  <si>
    <t>1970-01-28</t>
  </si>
  <si>
    <t>44 Ramses St, Damietta</t>
  </si>
  <si>
    <t>2013-03-21</t>
  </si>
  <si>
    <t>Aya</t>
  </si>
  <si>
    <t>1994-09-09</t>
  </si>
  <si>
    <t>35 Corniche Ave, Aswan</t>
  </si>
  <si>
    <t>2020-01-22</t>
  </si>
  <si>
    <t>Farida</t>
  </si>
  <si>
    <t>1975-08-01</t>
  </si>
  <si>
    <t>7 Corniche Ave, Suez</t>
  </si>
  <si>
    <t>2016-09-25</t>
  </si>
  <si>
    <t>1988-03-18</t>
  </si>
  <si>
    <t>2 Talaat Harb St, Aswan</t>
  </si>
  <si>
    <t>National Airlines</t>
  </si>
  <si>
    <t>2020-01-20</t>
  </si>
  <si>
    <t>Amr</t>
  </si>
  <si>
    <t>1980-10-03</t>
  </si>
  <si>
    <t>35 El Nasr Rd, Alexandria</t>
  </si>
  <si>
    <t>Self-employed</t>
  </si>
  <si>
    <t>2013-12-16</t>
  </si>
  <si>
    <t>Bassem</t>
  </si>
  <si>
    <t>Abdel Rahman</t>
  </si>
  <si>
    <t>1981-09-28</t>
  </si>
  <si>
    <t>20 Ramses St, Aswan</t>
  </si>
  <si>
    <t>2021-07-07</t>
  </si>
  <si>
    <t>Hany</t>
  </si>
  <si>
    <t>1972-04-08</t>
  </si>
  <si>
    <t>15 Talaat Harb St, Giza</t>
  </si>
  <si>
    <t>2013-06-01</t>
  </si>
  <si>
    <t>Salma</t>
  </si>
  <si>
    <t>1967-06-03</t>
  </si>
  <si>
    <t>35 El Nasr Rd, Damietta</t>
  </si>
  <si>
    <t>2020-04-09</t>
  </si>
  <si>
    <t>Ghada</t>
  </si>
  <si>
    <t>1995-07-07</t>
  </si>
  <si>
    <t>28 Ramses St, Ismailia</t>
  </si>
  <si>
    <t>2013-02-22</t>
  </si>
  <si>
    <t>Laila</t>
  </si>
  <si>
    <t>1990-12-11</t>
  </si>
  <si>
    <t>29 El Nasr Rd, Luxor</t>
  </si>
  <si>
    <t>2013-04-07</t>
  </si>
  <si>
    <t>Khaled</t>
  </si>
  <si>
    <t>1980-02-15</t>
  </si>
  <si>
    <t>49 El Nasr Rd, Alexandria</t>
  </si>
  <si>
    <t>Horizon Retail</t>
  </si>
  <si>
    <t>2020-02-02</t>
  </si>
  <si>
    <t>Tamer</t>
  </si>
  <si>
    <t>1978-07-02</t>
  </si>
  <si>
    <t>30 Corniche Ave, Luxor</t>
  </si>
  <si>
    <t>Suez Logistics</t>
  </si>
  <si>
    <t>2014-07-01</t>
  </si>
  <si>
    <t>1977-05-07</t>
  </si>
  <si>
    <t>21 Talaat Harb St, Cairo</t>
  </si>
  <si>
    <t>2012-10-24</t>
  </si>
  <si>
    <t>Gaber</t>
  </si>
  <si>
    <t>1998-03-02</t>
  </si>
  <si>
    <t>39 Talaat Harb St, Mansoura</t>
  </si>
  <si>
    <t>2020-02-28</t>
  </si>
  <si>
    <t>Younes</t>
  </si>
  <si>
    <t>1980-10-20</t>
  </si>
  <si>
    <t>38 Tahrir Sq, Suez</t>
  </si>
  <si>
    <t>2012-10-03</t>
  </si>
  <si>
    <t>Kamel</t>
  </si>
  <si>
    <t>1985-04-09</t>
  </si>
  <si>
    <t>2018-03-22</t>
  </si>
  <si>
    <t>Mahmoud</t>
  </si>
  <si>
    <t>1971-02-18</t>
  </si>
  <si>
    <t>5 El Nasr Rd, Aswan</t>
  </si>
  <si>
    <t>2015-09-09</t>
  </si>
  <si>
    <t>1999-12-10</t>
  </si>
  <si>
    <t>36 Corniche Ave, Giza</t>
  </si>
  <si>
    <t>2021-11-17</t>
  </si>
  <si>
    <t>Mansour</t>
  </si>
  <si>
    <t>1971-12-18</t>
  </si>
  <si>
    <t>22 El Nasr Rd, Tanta</t>
  </si>
  <si>
    <t>2014-05-10</t>
  </si>
  <si>
    <t>Shahin</t>
  </si>
  <si>
    <t>1968-02-21</t>
  </si>
  <si>
    <t>50 El Nasr Rd, Tanta</t>
  </si>
  <si>
    <t>2018-05-02</t>
  </si>
  <si>
    <t>Marwa</t>
  </si>
  <si>
    <t>Rashad</t>
  </si>
  <si>
    <t>1992-09-01</t>
  </si>
  <si>
    <t>3 Corniche Ave, Damietta</t>
  </si>
  <si>
    <t>2013-02-23</t>
  </si>
  <si>
    <t>Tarek</t>
  </si>
  <si>
    <t>1973-01-10</t>
  </si>
  <si>
    <t>16 Talaat Harb St, Aswan</t>
  </si>
  <si>
    <t>2017-01-12</t>
  </si>
  <si>
    <t>Rasha</t>
  </si>
  <si>
    <t>Adly</t>
  </si>
  <si>
    <t>1974-04-28</t>
  </si>
  <si>
    <t>48 Corniche Ave, Luxor</t>
  </si>
  <si>
    <t>2014-03-14</t>
  </si>
  <si>
    <t>1971-07-28</t>
  </si>
  <si>
    <t>30 Corniche Ave, Tanta</t>
  </si>
  <si>
    <t>2012-08-08</t>
  </si>
  <si>
    <t>1977-07-11</t>
  </si>
  <si>
    <t>42 Tahrir Sq, Luxor</t>
  </si>
  <si>
    <t>2016-02-25</t>
  </si>
  <si>
    <t>Ali</t>
  </si>
  <si>
    <t>1972-05-06</t>
  </si>
  <si>
    <t>28 Corniche Ave, Aswan</t>
  </si>
  <si>
    <t>2021-05-02</t>
  </si>
  <si>
    <t>Shorouk</t>
  </si>
  <si>
    <t>1972-07-19</t>
  </si>
  <si>
    <t>34 Tahrir Sq, Mansoura</t>
  </si>
  <si>
    <t>2015-05-02</t>
  </si>
  <si>
    <t>Adel</t>
  </si>
  <si>
    <t>1986-10-11</t>
  </si>
  <si>
    <t>2022-02-24</t>
  </si>
  <si>
    <t>1973-04-14</t>
  </si>
  <si>
    <t>37 Corniche Ave, Luxor</t>
  </si>
  <si>
    <t>2022-07-22</t>
  </si>
  <si>
    <t>Aziz</t>
  </si>
  <si>
    <t>1983-04-14</t>
  </si>
  <si>
    <t>29 Ramses St, Mansoura</t>
  </si>
  <si>
    <t>2021-10-21</t>
  </si>
  <si>
    <t>1970-05-17</t>
  </si>
  <si>
    <t>49 El Nasr Rd, Tanta</t>
  </si>
  <si>
    <t>2022-11-20</t>
  </si>
  <si>
    <t>1966-01-08</t>
  </si>
  <si>
    <t>27 Tahrir Sq, Mansoura</t>
  </si>
  <si>
    <t>2019-10-28</t>
  </si>
  <si>
    <t>1980-03-21</t>
  </si>
  <si>
    <t>12 Tahrir Sq, Ismailia</t>
  </si>
  <si>
    <t>2012-02-25</t>
  </si>
  <si>
    <t>1972-08-05</t>
  </si>
  <si>
    <t>29 Tahrir Sq, Suez</t>
  </si>
  <si>
    <t>2019-11-17</t>
  </si>
  <si>
    <t>1975-12-28</t>
  </si>
  <si>
    <t>41 Corniche Ave, Suez</t>
  </si>
  <si>
    <t>2019-08-09</t>
  </si>
  <si>
    <t>1993-02-23</t>
  </si>
  <si>
    <t>35 Talaat Harb St, Alexandria</t>
  </si>
  <si>
    <t>2016-04-09</t>
  </si>
  <si>
    <t>1974-12-07</t>
  </si>
  <si>
    <t>30 Ramses St, Cairo</t>
  </si>
  <si>
    <t>2013-07-14</t>
  </si>
  <si>
    <t>2002-12-01</t>
  </si>
  <si>
    <t>20 Ramses St, Luxor</t>
  </si>
  <si>
    <t>2021-07-16</t>
  </si>
  <si>
    <t>Nesma</t>
  </si>
  <si>
    <t>1979-08-08</t>
  </si>
  <si>
    <t>22 Ramses St, Alexandria</t>
  </si>
  <si>
    <t>2016-07-16</t>
  </si>
  <si>
    <t>Heba</t>
  </si>
  <si>
    <t>1999-01-13</t>
  </si>
  <si>
    <t>42 Ramses St, Alexandria</t>
  </si>
  <si>
    <t>2021-10-22</t>
  </si>
  <si>
    <t>1981-07-11</t>
  </si>
  <si>
    <t>25 Corniche Ave, Luxor</t>
  </si>
  <si>
    <t>2015-08-11</t>
  </si>
  <si>
    <t>Karim</t>
  </si>
  <si>
    <t>1966-12-18</t>
  </si>
  <si>
    <t>42 Talaat Harb St, Cairo</t>
  </si>
  <si>
    <t>2012-06-08</t>
  </si>
  <si>
    <t>1974-04-05</t>
  </si>
  <si>
    <t>45 Corniche Ave, Aswan</t>
  </si>
  <si>
    <t>2019-11-04</t>
  </si>
  <si>
    <t>1972-03-10</t>
  </si>
  <si>
    <t>44 Ramses St, Luxor</t>
  </si>
  <si>
    <t>2013-10-01</t>
  </si>
  <si>
    <t>Nourhan</t>
  </si>
  <si>
    <t>1980-02-23</t>
  </si>
  <si>
    <t>37 Talaat Harb St, Aswan</t>
  </si>
  <si>
    <t>2016-11-20</t>
  </si>
  <si>
    <t>1969-09-21</t>
  </si>
  <si>
    <t>32 Talaat Harb St, Luxor</t>
  </si>
  <si>
    <t>2017-01-28</t>
  </si>
  <si>
    <t>Fady</t>
  </si>
  <si>
    <t>1992-03-24</t>
  </si>
  <si>
    <t>28 Tahrir Sq, Tanta</t>
  </si>
  <si>
    <t>2020-11-09</t>
  </si>
  <si>
    <t>1982-08-08</t>
  </si>
  <si>
    <t>2 Ramses St, Aswan</t>
  </si>
  <si>
    <t>2019-10-20</t>
  </si>
  <si>
    <t>1987-05-11</t>
  </si>
  <si>
    <t>1 Tahrir Sq, Mansoura</t>
  </si>
  <si>
    <t>2016-10-23</t>
  </si>
  <si>
    <t>1996-09-25</t>
  </si>
  <si>
    <t>2 Talaat Harb St, Tanta</t>
  </si>
  <si>
    <t>2015-12-16</t>
  </si>
  <si>
    <t>Wael</t>
  </si>
  <si>
    <t>1984-11-19</t>
  </si>
  <si>
    <t>48 Tahrir Sq, Aswan</t>
  </si>
  <si>
    <t>2017-08-18</t>
  </si>
  <si>
    <t>Housing Bank</t>
  </si>
  <si>
    <t>National Trust Bank</t>
  </si>
  <si>
    <t>Delta Commercial Bank</t>
  </si>
  <si>
    <t>Nile Bank</t>
  </si>
  <si>
    <t>Alexandria Bank</t>
  </si>
  <si>
    <t>Suez Bank</t>
  </si>
  <si>
    <t>Pyramid Bank</t>
  </si>
  <si>
    <t>Horizon Bank</t>
  </si>
  <si>
    <t>Auto Finance Co</t>
  </si>
  <si>
    <t>finance_company</t>
  </si>
  <si>
    <t>Retail Finance Co</t>
  </si>
  <si>
    <t>QuickCredit Finance</t>
  </si>
  <si>
    <t>EasyPay Finance</t>
  </si>
  <si>
    <t>Prime Installments</t>
  </si>
  <si>
    <t>MicroTrust Finance</t>
  </si>
  <si>
    <t>microfinance</t>
  </si>
  <si>
    <t>SmallStep Microfinance</t>
  </si>
  <si>
    <t>GrowFund Microfinance</t>
  </si>
  <si>
    <t>City Retailer</t>
  </si>
  <si>
    <t>retailer</t>
  </si>
  <si>
    <t>MegaMart Credit</t>
  </si>
  <si>
    <t>2024-01-01</t>
  </si>
  <si>
    <t>Monday</t>
  </si>
  <si>
    <t>January</t>
  </si>
  <si>
    <t>2024-01-02</t>
  </si>
  <si>
    <t>Tuesday</t>
  </si>
  <si>
    <t>2024-01-03</t>
  </si>
  <si>
    <t>Wednesday</t>
  </si>
  <si>
    <t>2024-01-04</t>
  </si>
  <si>
    <t>Thursday</t>
  </si>
  <si>
    <t>2024-01-05</t>
  </si>
  <si>
    <t>Friday</t>
  </si>
  <si>
    <t>2024-01-06</t>
  </si>
  <si>
    <t>Saturday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</si>
  <si>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</si>
  <si>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</si>
  <si>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</si>
  <si>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</si>
  <si>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</si>
  <si>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</si>
  <si>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</si>
  <si>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</si>
  <si>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</si>
  <si>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</si>
  <si>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</si>
  <si>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</si>
  <si>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</si>
  <si>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</si>
  <si>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</si>
  <si>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</si>
  <si>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</si>
  <si>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</si>
  <si>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</si>
  <si>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</si>
  <si>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</si>
  <si>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</si>
  <si>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</si>
  <si>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</si>
  <si>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</si>
  <si>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</si>
  <si>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</si>
  <si>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</si>
  <si>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</si>
  <si>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</si>
  <si>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</si>
  <si>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</si>
  <si>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</si>
  <si>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</si>
  <si>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</si>
  <si>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</si>
  <si>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</si>
  <si>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</si>
  <si>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</si>
  <si>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</si>
  <si>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</si>
  <si>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</si>
  <si>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</si>
  <si>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</si>
  <si>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</si>
  <si>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</si>
  <si>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</si>
  <si>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</si>
  <si>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</si>
  <si>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</si>
  <si>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</si>
  <si>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</si>
  <si>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</si>
  <si>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</si>
  <si>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</si>
  <si>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</si>
  <si>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</si>
  <si>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</si>
  <si>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</si>
  <si>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</si>
  <si>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</si>
  <si>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</si>
  <si>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</si>
  <si>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</si>
  <si>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</si>
  <si>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</si>
  <si>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</si>
  <si>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</si>
  <si>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</si>
  <si>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</si>
  <si>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</si>
  <si>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</si>
  <si>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</si>
  <si>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</si>
  <si>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</si>
  <si>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</si>
  <si>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</si>
  <si>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</si>
  <si>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</si>
  <si>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</si>
  <si>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</si>
  <si>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</si>
  <si>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</si>
  <si>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</si>
  <si>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</si>
  <si>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</si>
  <si>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</si>
  <si>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</si>
  <si>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</si>
  <si>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</si>
  <si>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</si>
  <si>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</si>
  <si>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</si>
  <si>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</si>
  <si>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</si>
  <si>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</si>
  <si>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retail_account</t>
  </si>
  <si>
    <t>line_of_credit</t>
  </si>
  <si>
    <t>mortgage</t>
  </si>
  <si>
    <t>installment</t>
  </si>
  <si>
    <t>auto_loan</t>
  </si>
  <si>
    <t>installment_loan</t>
  </si>
  <si>
    <t>student_loan</t>
  </si>
  <si>
    <t>2019-05-08</t>
  </si>
  <si>
    <t>2020-12-02</t>
  </si>
  <si>
    <t>closed</t>
  </si>
  <si>
    <t>2018-12-16</t>
  </si>
  <si>
    <t>delinquent_30</t>
  </si>
  <si>
    <t>2018-06-06</t>
  </si>
  <si>
    <t>charged_off</t>
  </si>
  <si>
    <t>2017-11-28</t>
  </si>
  <si>
    <t>2017-01-09</t>
  </si>
  <si>
    <t>2015-03-05</t>
  </si>
  <si>
    <t>2024-10-08</t>
  </si>
  <si>
    <t>2024-10-02</t>
  </si>
  <si>
    <t>2018-03-18</t>
  </si>
  <si>
    <t>2018-09-19</t>
  </si>
  <si>
    <t>2015-04-10</t>
  </si>
  <si>
    <t>2024-11-26</t>
  </si>
  <si>
    <t>2017-02-02</t>
  </si>
  <si>
    <t>2019-12-13</t>
  </si>
  <si>
    <t>2020-10-09</t>
  </si>
  <si>
    <t>2022-07-19</t>
  </si>
  <si>
    <t>2019-10-02</t>
  </si>
  <si>
    <t>delinquent_90</t>
  </si>
  <si>
    <t>2021-11-27</t>
  </si>
  <si>
    <t>2017-06-14</t>
  </si>
  <si>
    <t>2016-06-09</t>
  </si>
  <si>
    <t>2015-04-17</t>
  </si>
  <si>
    <t>2022-12-16</t>
  </si>
  <si>
    <t>2024-04-10</t>
  </si>
  <si>
    <t>2023-01-18</t>
  </si>
  <si>
    <t>2019-09-23</t>
  </si>
  <si>
    <t>2024-09-24</t>
  </si>
  <si>
    <t>2015-05-24</t>
  </si>
  <si>
    <t>2022-06-11</t>
  </si>
  <si>
    <t>2021-04-28</t>
  </si>
  <si>
    <t>2017-08-02</t>
  </si>
  <si>
    <t>2021-05-21</t>
  </si>
  <si>
    <t>2023-08-01</t>
  </si>
  <si>
    <t>2024-12-13</t>
  </si>
  <si>
    <t>2023-01-20</t>
  </si>
  <si>
    <t>2016-11-23</t>
  </si>
  <si>
    <t>2015-05-12</t>
  </si>
  <si>
    <t>2017-02-20</t>
  </si>
  <si>
    <t>2024-05-21</t>
  </si>
  <si>
    <t>2018-07-19</t>
  </si>
  <si>
    <t>2015-10-28</t>
  </si>
  <si>
    <t>2018-10-26</t>
  </si>
  <si>
    <t>2016-11-21</t>
  </si>
  <si>
    <t>2019-06-24</t>
  </si>
  <si>
    <t>2019-03-09</t>
  </si>
  <si>
    <t>2016-03-25</t>
  </si>
  <si>
    <t>2016-07-01</t>
  </si>
  <si>
    <t>2020-02-22</t>
  </si>
  <si>
    <t>2016-11-27</t>
  </si>
  <si>
    <t>2022-02-04</t>
  </si>
  <si>
    <t>2024-12-24</t>
  </si>
  <si>
    <t>2020-04-15</t>
  </si>
  <si>
    <t>2020-01-13</t>
  </si>
  <si>
    <t>2015-06-08</t>
  </si>
  <si>
    <t>2017-10-01</t>
  </si>
  <si>
    <t>2021-09-04</t>
  </si>
  <si>
    <t>2018-10-02</t>
  </si>
  <si>
    <t>2021-07-22</t>
  </si>
  <si>
    <t>2017-02-05</t>
  </si>
  <si>
    <t>2022-09-20</t>
  </si>
  <si>
    <t>2018-07-15</t>
  </si>
  <si>
    <t>2021-06-22</t>
  </si>
  <si>
    <t>2021-02-24</t>
  </si>
  <si>
    <t>2016-07-12</t>
  </si>
  <si>
    <t>2020-02-19</t>
  </si>
  <si>
    <t>2016-05-19</t>
  </si>
  <si>
    <t>2024-11-27</t>
  </si>
  <si>
    <t>2015-03-28</t>
  </si>
  <si>
    <t>2019-06-01</t>
  </si>
  <si>
    <t>2023-04-13</t>
  </si>
  <si>
    <t>2016-01-05</t>
  </si>
  <si>
    <t>2024-08-14</t>
  </si>
  <si>
    <t>2023-11-10</t>
  </si>
  <si>
    <t>2017-05-10</t>
  </si>
  <si>
    <t>2018-09-18</t>
  </si>
  <si>
    <t>2020-10-14</t>
  </si>
  <si>
    <t>2024-08-27</t>
  </si>
  <si>
    <t>2016-07-28</t>
  </si>
  <si>
    <t>2023-04-25</t>
  </si>
  <si>
    <t>2019-04-06</t>
  </si>
  <si>
    <t>2024-08-22</t>
  </si>
  <si>
    <t>2022-02-16</t>
  </si>
  <si>
    <t>2022-08-02</t>
  </si>
  <si>
    <t>2024-09-13</t>
  </si>
  <si>
    <t>2018-06-20</t>
  </si>
  <si>
    <t>2016-09-21</t>
  </si>
  <si>
    <t>2020-05-13</t>
  </si>
  <si>
    <t>2020-02-18</t>
  </si>
  <si>
    <t>2016-10-22</t>
  </si>
  <si>
    <t>2024-12-03</t>
  </si>
  <si>
    <t>2021-09-12</t>
  </si>
  <si>
    <t>2023-12-03</t>
  </si>
  <si>
    <t>2018-03-05</t>
  </si>
  <si>
    <t>2023-05-27</t>
  </si>
  <si>
    <t>2020-10-05</t>
  </si>
  <si>
    <t>2022-01-14</t>
  </si>
  <si>
    <t>late_30</t>
  </si>
  <si>
    <t>missed</t>
  </si>
  <si>
    <t>late_60</t>
  </si>
  <si>
    <t>payment_history</t>
  </si>
  <si>
    <t>positive</t>
  </si>
  <si>
    <t>length_of_history</t>
  </si>
  <si>
    <t>new_credit</t>
  </si>
  <si>
    <t>credit_mix</t>
  </si>
  <si>
    <t>neutral</t>
  </si>
  <si>
    <t>soft</t>
  </si>
  <si>
    <t>ProCollect Egypt</t>
  </si>
  <si>
    <t>2023-12-07</t>
  </si>
  <si>
    <t>2023-05-13</t>
  </si>
  <si>
    <t>FastTrack Recovery</t>
  </si>
  <si>
    <t>2023-05-12</t>
  </si>
  <si>
    <t>ClearBalance Collections</t>
  </si>
  <si>
    <t>2023-12-16</t>
  </si>
  <si>
    <t>2023-07-02</t>
  </si>
  <si>
    <t>paid</t>
  </si>
  <si>
    <t>2023-01-09</t>
  </si>
  <si>
    <t>National Debt Recovery</t>
  </si>
  <si>
    <t>2023-07-10</t>
  </si>
  <si>
    <t>2023-10-27</t>
  </si>
  <si>
    <t>2023-11-11</t>
  </si>
  <si>
    <t>2023-12-21</t>
  </si>
  <si>
    <t>2023-06-06</t>
  </si>
  <si>
    <t>2023-09-21</t>
  </si>
  <si>
    <t>settled</t>
  </si>
  <si>
    <t>2023-02-27</t>
  </si>
  <si>
    <t>2023-11-08</t>
  </si>
  <si>
    <t>2023-09-15</t>
  </si>
  <si>
    <t>2023-10-16</t>
  </si>
  <si>
    <t>2023-07-01</t>
  </si>
  <si>
    <t>2023-05-01</t>
  </si>
  <si>
    <t>2023-03-04</t>
  </si>
  <si>
    <t>2023-10-17</t>
  </si>
  <si>
    <t>2023-07-03</t>
  </si>
  <si>
    <t>2023-04-23</t>
  </si>
  <si>
    <t>2023-02-21</t>
  </si>
  <si>
    <t>2023-09-16</t>
  </si>
  <si>
    <t>2023-02-16</t>
  </si>
  <si>
    <t>2023-02-17</t>
  </si>
  <si>
    <t>2023-12-19</t>
  </si>
  <si>
    <t>2023-11-09</t>
  </si>
  <si>
    <t>2023-06-01</t>
  </si>
  <si>
    <t>2023-12-27</t>
  </si>
  <si>
    <t>2023-10-08</t>
  </si>
  <si>
    <t>2023-09-11</t>
  </si>
  <si>
    <t>2023-12-24</t>
  </si>
  <si>
    <t>2023-01-04</t>
  </si>
  <si>
    <t>2023-10-25</t>
  </si>
  <si>
    <t>2023-04-12</t>
  </si>
  <si>
    <t>2023-11-19</t>
  </si>
  <si>
    <t>2023-12-26</t>
  </si>
  <si>
    <t>2023-02-03</t>
  </si>
  <si>
    <t>2023-05-04</t>
  </si>
  <si>
    <t>2023-09-18</t>
  </si>
  <si>
    <t>2023-06-18</t>
  </si>
  <si>
    <t>2023-12-18</t>
  </si>
  <si>
    <t>2023-07-06</t>
  </si>
  <si>
    <t>2023-03-03</t>
  </si>
  <si>
    <t>2023-08-26</t>
  </si>
  <si>
    <t>2023-02-05</t>
  </si>
  <si>
    <t>2023-10-13</t>
  </si>
  <si>
    <t>2023-11-20</t>
  </si>
  <si>
    <t>dim customer</t>
  </si>
  <si>
    <t>dim lender</t>
  </si>
  <si>
    <t>dim date</t>
  </si>
  <si>
    <t>dim account type</t>
  </si>
  <si>
    <t>fact payment history</t>
  </si>
  <si>
    <t>fact credit score</t>
  </si>
  <si>
    <t>fact score factors</t>
  </si>
  <si>
    <t>fact inquiries</t>
  </si>
  <si>
    <t>fact collection</t>
  </si>
  <si>
    <t>dispute_id</t>
  </si>
  <si>
    <t>reason_code</t>
  </si>
  <si>
    <t>filed_date</t>
  </si>
  <si>
    <t>dispute_channel</t>
  </si>
  <si>
    <t>resolution_date</t>
  </si>
  <si>
    <t>resolution_notes</t>
  </si>
  <si>
    <t>identity_theft</t>
  </si>
  <si>
    <t>2025-11-12</t>
  </si>
  <si>
    <t>iscore_website</t>
  </si>
  <si>
    <t>submitted</t>
  </si>
  <si>
    <t>2025-01-26</t>
  </si>
  <si>
    <t>rejected</t>
  </si>
  <si>
    <t>2025-02-11</t>
  </si>
  <si>
    <t>Resolved after bureau investigation</t>
  </si>
  <si>
    <t>incorrect_balance</t>
  </si>
  <si>
    <t>2025-07-28</t>
  </si>
  <si>
    <t>bank_branch</t>
  </si>
  <si>
    <t>2025-05-07</t>
  </si>
  <si>
    <t>mobile_app</t>
  </si>
  <si>
    <t>under_review</t>
  </si>
  <si>
    <t>not_mine</t>
  </si>
  <si>
    <t>2025-05-18</t>
  </si>
  <si>
    <t>resolved_favor_customer</t>
  </si>
  <si>
    <t>2025-06-05</t>
  </si>
  <si>
    <t>paid_but_showing_open</t>
  </si>
  <si>
    <t>2025-08-22</t>
  </si>
  <si>
    <t>2025-10-04</t>
  </si>
  <si>
    <t>2025-03-17</t>
  </si>
  <si>
    <t>2025-04-24</t>
  </si>
  <si>
    <t>2025-03-16</t>
  </si>
  <si>
    <t>2025-04-02</t>
  </si>
  <si>
    <t>2025-02-18</t>
  </si>
  <si>
    <t>2025-08-18</t>
  </si>
  <si>
    <t>member_company</t>
  </si>
  <si>
    <t>2025-12-09</t>
  </si>
  <si>
    <t>2026-01-22</t>
  </si>
  <si>
    <t>2025-09-07</t>
  </si>
  <si>
    <t>resolved_favor_lender</t>
  </si>
  <si>
    <t>2025-09-25</t>
  </si>
  <si>
    <t>2025-08-11</t>
  </si>
  <si>
    <t>duplicate_account</t>
  </si>
  <si>
    <t>2025-02-25</t>
  </si>
  <si>
    <t>2025-08-08</t>
  </si>
  <si>
    <t>2025-08-24</t>
  </si>
  <si>
    <t>2025-11-27</t>
  </si>
  <si>
    <t>2025-04-12</t>
  </si>
  <si>
    <t>incorrect_status</t>
  </si>
  <si>
    <t>2025-08-23</t>
  </si>
  <si>
    <t>2025-02-26</t>
  </si>
  <si>
    <t>2025-05-25</t>
  </si>
  <si>
    <t>2025-03-18</t>
  </si>
  <si>
    <t>2025-04-28</t>
  </si>
  <si>
    <t>2025-07-03</t>
  </si>
  <si>
    <t>2025-04-03</t>
  </si>
  <si>
    <t>2025-06-18</t>
  </si>
  <si>
    <t>2025-07-15</t>
  </si>
  <si>
    <t>2025-02-06</t>
  </si>
  <si>
    <t>2025-05-02</t>
  </si>
  <si>
    <t>2025-02-22</t>
  </si>
  <si>
    <t>2025-03-31</t>
  </si>
  <si>
    <t>2025-09-10</t>
  </si>
  <si>
    <t>2025-12-21</t>
  </si>
  <si>
    <t>2025-11-24</t>
  </si>
  <si>
    <t>2025-12-31</t>
  </si>
  <si>
    <t>2025-09-22</t>
  </si>
  <si>
    <t>2025-10-17</t>
  </si>
  <si>
    <t>2025-05-15</t>
  </si>
  <si>
    <t>2025-09-21</t>
  </si>
  <si>
    <t>2025-03-13</t>
  </si>
  <si>
    <t>2025-04-17</t>
  </si>
  <si>
    <t>2025-11-08</t>
  </si>
  <si>
    <t>2025-10-13</t>
  </si>
  <si>
    <t>2025-11-23</t>
  </si>
  <si>
    <t>2025-01-27</t>
  </si>
  <si>
    <t>2025-03-10</t>
  </si>
  <si>
    <t>2025-10-06</t>
  </si>
  <si>
    <t>2025-12-16</t>
  </si>
  <si>
    <t>2025-08-09</t>
  </si>
  <si>
    <t>2025-06-02</t>
  </si>
  <si>
    <t>2025-01-20</t>
  </si>
  <si>
    <t>2025-10-19</t>
  </si>
  <si>
    <t>2025-05-22</t>
  </si>
  <si>
    <t>2025-08-15</t>
  </si>
  <si>
    <t>2025-09-01</t>
  </si>
  <si>
    <t>2025-02-16</t>
  </si>
  <si>
    <t>2025-09-15</t>
  </si>
  <si>
    <t>2025-12-17</t>
  </si>
  <si>
    <t>2025-05-04</t>
  </si>
  <si>
    <t>2025-05-28</t>
  </si>
  <si>
    <t>2025-01-06</t>
  </si>
  <si>
    <t>2025-05-24</t>
  </si>
  <si>
    <t>2025-01-11</t>
  </si>
  <si>
    <t>2025-02-15</t>
  </si>
  <si>
    <t>self_inquiry_id</t>
  </si>
  <si>
    <t>channel</t>
  </si>
  <si>
    <t>purpose</t>
  </si>
  <si>
    <t>member_company_branch</t>
  </si>
  <si>
    <t>suspected_error</t>
  </si>
  <si>
    <t>bank_portal</t>
  </si>
  <si>
    <t>routine_check</t>
  </si>
  <si>
    <t>identity_monitoring</t>
  </si>
  <si>
    <t>loan_application_prep</t>
  </si>
  <si>
    <t>annual_review</t>
  </si>
  <si>
    <t>legal_action_id</t>
  </si>
  <si>
    <t>plaintiff_lender_id</t>
  </si>
  <si>
    <t>case_number</t>
  </si>
  <si>
    <t>court_name</t>
  </si>
  <si>
    <t>filing_date</t>
  </si>
  <si>
    <t>case_status</t>
  </si>
  <si>
    <t>judgment_amount</t>
  </si>
  <si>
    <t>judgment_date</t>
  </si>
  <si>
    <t>2025/9320</t>
  </si>
  <si>
    <t>Ismailia Court of First Instance</t>
  </si>
  <si>
    <t>2024-08-28</t>
  </si>
  <si>
    <t>judgment_issued</t>
  </si>
  <si>
    <t>2025-06-20</t>
  </si>
  <si>
    <t>2025/4050</t>
  </si>
  <si>
    <t>Cairo Economic Court</t>
  </si>
  <si>
    <t>2024-10-07</t>
  </si>
  <si>
    <t>filed</t>
  </si>
  <si>
    <t>2024/7490</t>
  </si>
  <si>
    <t>Mansoura Court of First Instance</t>
  </si>
  <si>
    <t>2024-08-10</t>
  </si>
  <si>
    <t>2024/1975</t>
  </si>
  <si>
    <t>2024-11-24</t>
  </si>
  <si>
    <t>2025-03-04</t>
  </si>
  <si>
    <t>2025/4200</t>
  </si>
  <si>
    <t>Suez Court of First Instance</t>
  </si>
  <si>
    <t>2024-12-23</t>
  </si>
  <si>
    <t>2024/2392</t>
  </si>
  <si>
    <t>2024-04-21</t>
  </si>
  <si>
    <t>in_progress</t>
  </si>
  <si>
    <t>2024/5161</t>
  </si>
  <si>
    <t>Alexandria Economic Court</t>
  </si>
  <si>
    <t>2024-11-09</t>
  </si>
  <si>
    <t>2024/2768</t>
  </si>
  <si>
    <t>2024-04-17</t>
  </si>
  <si>
    <t>2024/1276</t>
  </si>
  <si>
    <t>2024/8700</t>
  </si>
  <si>
    <t>2024-11-01</t>
  </si>
  <si>
    <t>2024/5420</t>
  </si>
  <si>
    <t>2025/2933</t>
  </si>
  <si>
    <t>Giza Court of First Instance</t>
  </si>
  <si>
    <t>2024/8617</t>
  </si>
  <si>
    <t>2024-04-23</t>
  </si>
  <si>
    <t>2024/3145</t>
  </si>
  <si>
    <t>2024-08-06</t>
  </si>
  <si>
    <t>2024-11-22</t>
  </si>
  <si>
    <t>2025/4487</t>
  </si>
  <si>
    <t>2024-11-13</t>
  </si>
  <si>
    <t>2025/1321</t>
  </si>
  <si>
    <t>2024-05-28</t>
  </si>
  <si>
    <t>2024/1689</t>
  </si>
  <si>
    <t>2025/5854</t>
  </si>
  <si>
    <t>2024-04-15</t>
  </si>
  <si>
    <t>2024/1254</t>
  </si>
  <si>
    <t>2025/3223</t>
  </si>
  <si>
    <t>2024-06-12</t>
  </si>
  <si>
    <t>2024-09-12</t>
  </si>
  <si>
    <t>2024/4109</t>
  </si>
  <si>
    <t>2024-07-06</t>
  </si>
  <si>
    <t>2024/7360</t>
  </si>
  <si>
    <t>2024-12-21</t>
  </si>
  <si>
    <t>2024/2786</t>
  </si>
  <si>
    <t>2024-10-03</t>
  </si>
  <si>
    <t>2025/5210</t>
  </si>
  <si>
    <t>2024-09-09</t>
  </si>
  <si>
    <t>2024/2126</t>
  </si>
  <si>
    <t>2024-10-16</t>
  </si>
  <si>
    <t>2024/5591</t>
  </si>
  <si>
    <t>2024-04-16</t>
  </si>
  <si>
    <t>2025-01-19</t>
  </si>
  <si>
    <t>2025/7740</t>
  </si>
  <si>
    <t>2024-04-24</t>
  </si>
  <si>
    <t>2025/7042</t>
  </si>
  <si>
    <t>2024/8378</t>
  </si>
  <si>
    <t>2024-10-05</t>
  </si>
  <si>
    <t>2024/1293</t>
  </si>
  <si>
    <t>2025-06-21</t>
  </si>
  <si>
    <t>2024/1348</t>
  </si>
  <si>
    <t>2024-06-23</t>
  </si>
  <si>
    <t>2025/6224</t>
  </si>
  <si>
    <t>2024-11-03</t>
  </si>
  <si>
    <t>2025/1728</t>
  </si>
  <si>
    <t>Tanta Court of First Instance</t>
  </si>
  <si>
    <t>2025/6764</t>
  </si>
  <si>
    <t>2025/1495</t>
  </si>
  <si>
    <t>2024-11-16</t>
  </si>
  <si>
    <t>2025/7212</t>
  </si>
  <si>
    <t>2024-08-19</t>
  </si>
  <si>
    <t>2024/2893</t>
  </si>
  <si>
    <t>2025/8217</t>
  </si>
  <si>
    <t>2024-07-24</t>
  </si>
  <si>
    <t>2024/8879</t>
  </si>
  <si>
    <t>2024-09-03</t>
  </si>
  <si>
    <t>2025/5191</t>
  </si>
  <si>
    <t>2024/9493</t>
  </si>
  <si>
    <t>2024-06-10</t>
  </si>
  <si>
    <t>2025/4956</t>
  </si>
  <si>
    <t>2024-06-22</t>
  </si>
  <si>
    <t>2025/4281</t>
  </si>
  <si>
    <t>2024-07-22</t>
  </si>
  <si>
    <t>2024/9134</t>
  </si>
  <si>
    <t>2024-07-08</t>
  </si>
  <si>
    <t>2025/3771</t>
  </si>
  <si>
    <t>2024/7782</t>
  </si>
  <si>
    <t>2024-08-16</t>
  </si>
  <si>
    <t>2025/8413</t>
  </si>
  <si>
    <t>2024-11-17</t>
  </si>
  <si>
    <t>2024/5605</t>
  </si>
  <si>
    <t>2024/7638</t>
  </si>
  <si>
    <t>2024-12-31</t>
  </si>
  <si>
    <t>2024/1769</t>
  </si>
  <si>
    <t>2024-08-07</t>
  </si>
  <si>
    <t>2025/2277</t>
  </si>
  <si>
    <t>2025/3927</t>
  </si>
  <si>
    <t>dismissed</t>
  </si>
  <si>
    <t>2024/3934</t>
  </si>
  <si>
    <t>fact_disputes</t>
  </si>
  <si>
    <t>Journey note: ~15 rows are seeded to follow a self-inquiry with purpose='suspected_error' for the same customer_id, so the self-check -&gt; dispute path is traceable in the data.</t>
  </si>
  <si>
    <t>Grain: one row per dispute filed</t>
  </si>
  <si>
    <t>8001</t>
  </si>
  <si>
    <t>INTEGER (FK, nullable)</t>
  </si>
  <si>
    <t>NULL if disputing something report-wide rather than one account</t>
  </si>
  <si>
    <t>VARCHAR(25)</t>
  </si>
  <si>
    <t>'not_mine','incorrect_balance','incorrect_status','paid_but_showing_open','identity_theft','duplicate_account'</t>
  </si>
  <si>
    <t>'bank_branch','iscore_website','mobile_app','member_company'</t>
  </si>
  <si>
    <t>'submitted','under_review','resolved_favor_customer','resolved_favor_lender','rejected'</t>
  </si>
  <si>
    <t>DATE (nullable)</t>
  </si>
  <si>
    <t>Only set once resolved</t>
  </si>
  <si>
    <t>VARCHAR(255) (nullable)</t>
  </si>
  <si>
    <t>fact_self_inquiries</t>
  </si>
  <si>
    <t>Distinct from fact_inquiries: this table is customer-initiated self-checks, not lender-driven credit pulls.</t>
  </si>
  <si>
    <t>Grain: one row per time a customer checks their own file</t>
  </si>
  <si>
    <t>90012</t>
  </si>
  <si>
    <t>20240215</t>
  </si>
  <si>
    <t>'bank_portal','mobile_app','iscore_website','member_company_branch'</t>
  </si>
  <si>
    <t>'routine_check','loan_application_prep','suspected_error','identity_monitoring','annual_review'</t>
  </si>
  <si>
    <t>fact_legal_actions</t>
  </si>
  <si>
    <t>Seeded from tradelines with status in ('charged_off','delinquent_90') — legal action is modeled as a severe escalation from the same risk pool as collections. court_name kept as free text for now; consider a dim_court lookup if court-level reporting/analysis is needed.</t>
  </si>
  <si>
    <t>Grain: one row per legal/court action against a customer's account</t>
  </si>
  <si>
    <t>6001</t>
  </si>
  <si>
    <t>The account the legal action stems from</t>
  </si>
  <si>
    <t>Lender who filed the case</t>
  </si>
  <si>
    <t>Court case reference number</t>
  </si>
  <si>
    <t>2025/4821</t>
  </si>
  <si>
    <t>VARCHAR(60)</t>
  </si>
  <si>
    <t>Free-text court name (see note below on dim_court)</t>
  </si>
  <si>
    <t>2024-05-12</t>
  </si>
  <si>
    <t>'filed','in_progress','judgment_issued','dismissed','settled'</t>
  </si>
  <si>
    <t>DECIMAL(14,2) (nullable)</t>
  </si>
  <si>
    <t>Set only once a judgment is issued</t>
  </si>
  <si>
    <t>4830.00</t>
  </si>
  <si>
    <t>dim_account</t>
  </si>
  <si>
    <t>account_id</t>
  </si>
  <si>
    <t>One row per account. Renamed from tradeline_id / fact_tradeline: current-state only, no history — reclassified from fact to dim for that reason.</t>
  </si>
  <si>
    <t>Amount currently owed</t>
  </si>
  <si>
    <t>credit_limit - outstanding_balance; revolving only, NULL for installment</t>
  </si>
  <si>
    <t>dim account</t>
  </si>
  <si>
    <t>table</t>
  </si>
  <si>
    <t>description</t>
  </si>
  <si>
    <t>Companies or banks that sell credit products (banks, finance companies, microfinance, retailers) and report account data to the bureau.</t>
  </si>
  <si>
    <t>The customer's credit score at each calculation date, tracking how it moves over time.</t>
  </si>
  <si>
    <t>Disputes filed by a customer against inaccurate information on their report, along with how each was resolved.</t>
  </si>
  <si>
    <t>Court actions (lawsuits, judgments) tied to a customer's account — the most severe escalation path, separate from collections.</t>
  </si>
  <si>
    <t>Log of times a customer checked their own credit file (as opposed to fact_inquiries, which tracks lenders checking it).</t>
  </si>
  <si>
    <t>Catalog of product types (credit_card, mortgage, auto_loan, etc.) and whether each is revolving or installment</t>
  </si>
  <si>
    <t>One row per credit account a customer holds or has held, reflecting its current state (balance, limit, status) — not its history.</t>
  </si>
  <si>
    <t>Monthly payment record per account — whether each month's payment was made on time, late, or missed. This is what tracks an account's behavior over time.</t>
  </si>
  <si>
    <t>The credit file owner , one row per individual, holding identity and demographic attributes used to match and verify who the report belongs to.</t>
  </si>
  <si>
    <t>Calendar</t>
  </si>
  <si>
    <t>What's my current credit score, and how has it changed over the last few months?</t>
  </si>
  <si>
    <t>What types of credit accounts do I have, and how many of each (revolving vs. installment)?</t>
  </si>
  <si>
    <t>Which lender reported the account with the highest outstanding balance?</t>
  </si>
  <si>
    <t>Have I had any late or missed payments in the past year, and on which accounts?</t>
  </si>
  <si>
    <t>Am I currently involved in any legal action (lawsuit) related to one of my accounts?</t>
  </si>
  <si>
    <t>Have I filed any disputes, and what's the status of each — resolved, rejected, or still under review?</t>
  </si>
  <si>
    <t>How many times have I checked my own credit report recently, and through which channel?</t>
  </si>
  <si>
    <t>Which factor is contributing most negatively to my current credit score?</t>
  </si>
  <si>
    <t>Questions</t>
  </si>
  <si>
    <t>Relevant tables</t>
  </si>
  <si>
    <r>
      <t>fact_credit_score</t>
    </r>
    <r>
      <rPr>
        <sz val="11"/>
        <color theme="1"/>
        <rFont val="Calibri"/>
        <family val="2"/>
        <charset val="1"/>
      </rPr>
      <t xml:space="preserve"> + </t>
    </r>
    <r>
      <rPr>
        <sz val="10"/>
        <color theme="1"/>
        <rFont val="Arial Unicode MS"/>
      </rPr>
      <t>dim_date</t>
    </r>
  </si>
  <si>
    <r>
      <t>dim_account</t>
    </r>
    <r>
      <rPr>
        <sz val="11"/>
        <color theme="1"/>
        <rFont val="Calibri"/>
        <family val="2"/>
        <charset val="1"/>
      </rPr>
      <t xml:space="preserve"> + </t>
    </r>
    <r>
      <rPr>
        <sz val="10"/>
        <color theme="1"/>
        <rFont val="Arial Unicode MS"/>
      </rPr>
      <t>dim_account_type</t>
    </r>
  </si>
  <si>
    <r>
      <t>dim_account</t>
    </r>
    <r>
      <rPr>
        <sz val="11"/>
        <color theme="1"/>
        <rFont val="Calibri"/>
        <family val="2"/>
        <charset val="1"/>
      </rPr>
      <t xml:space="preserve"> + </t>
    </r>
    <r>
      <rPr>
        <sz val="10"/>
        <color theme="1"/>
        <rFont val="Arial Unicode MS"/>
      </rPr>
      <t>dim_lender</t>
    </r>
  </si>
  <si>
    <r>
      <t>fact_payment_history</t>
    </r>
    <r>
      <rPr>
        <sz val="11"/>
        <color theme="1"/>
        <rFont val="Calibri"/>
        <family val="2"/>
        <charset val="1"/>
      </rPr>
      <t xml:space="preserve"> + </t>
    </r>
    <r>
      <rPr>
        <sz val="10"/>
        <color theme="1"/>
        <rFont val="Arial Unicode MS"/>
      </rPr>
      <t>dim_account</t>
    </r>
    <r>
      <rPr>
        <sz val="11"/>
        <color theme="1"/>
        <rFont val="Calibri"/>
        <family val="2"/>
        <charset val="1"/>
      </rPr>
      <t xml:space="preserve"> (+ </t>
    </r>
    <r>
      <rPr>
        <sz val="10"/>
        <color theme="1"/>
        <rFont val="Arial Unicode MS"/>
      </rPr>
      <t>dim_date</t>
    </r>
    <r>
      <rPr>
        <sz val="11"/>
        <color theme="1"/>
        <rFont val="Calibri"/>
        <family val="2"/>
        <charset val="1"/>
      </rPr>
      <t xml:space="preserve"> for the time filter)</t>
    </r>
  </si>
  <si>
    <r>
      <t>fact_legal_actions</t>
    </r>
    <r>
      <rPr>
        <sz val="11"/>
        <color theme="1"/>
        <rFont val="Calibri"/>
        <family val="2"/>
        <charset val="1"/>
      </rPr>
      <t xml:space="preserve"> + </t>
    </r>
    <r>
      <rPr>
        <sz val="10"/>
        <color theme="1"/>
        <rFont val="Arial Unicode MS"/>
      </rPr>
      <t>dim_account</t>
    </r>
  </si>
  <si>
    <r>
      <t>fact_disputes</t>
    </r>
    <r>
      <rPr>
        <sz val="11"/>
        <color theme="1"/>
        <rFont val="Calibri"/>
        <family val="2"/>
        <charset val="1"/>
      </rPr>
      <t xml:space="preserve"> (+ </t>
    </r>
    <r>
      <rPr>
        <sz val="10"/>
        <color theme="1"/>
        <rFont val="Arial Unicode MS"/>
      </rPr>
      <t>dim_account</t>
    </r>
    <r>
      <rPr>
        <sz val="11"/>
        <color theme="1"/>
        <rFont val="Calibri"/>
        <family val="2"/>
        <charset val="1"/>
      </rPr>
      <t xml:space="preserve"> if you want to show which account each dispute relates to)</t>
    </r>
  </si>
  <si>
    <r>
      <t>fact_self_inquiries</t>
    </r>
    <r>
      <rPr>
        <sz val="11"/>
        <color theme="1"/>
        <rFont val="Calibri"/>
        <family val="2"/>
        <charset val="1"/>
      </rPr>
      <t xml:space="preserve"> + </t>
    </r>
    <r>
      <rPr>
        <sz val="10"/>
        <color theme="1"/>
        <rFont val="Arial Unicode MS"/>
      </rPr>
      <t>dim_date</t>
    </r>
  </si>
  <si>
    <r>
      <t>fact_score_factors</t>
    </r>
    <r>
      <rPr>
        <sz val="11"/>
        <color theme="1"/>
        <rFont val="Calibri"/>
        <family val="2"/>
        <charset val="1"/>
      </rPr>
      <t xml:space="preserve"> + </t>
    </r>
    <r>
      <rPr>
        <sz val="10"/>
        <color theme="1"/>
        <rFont val="Arial Unicode MS"/>
      </rPr>
      <t>fact_credit_score</t>
    </r>
  </si>
  <si>
    <t>MSA</t>
  </si>
  <si>
    <t>Egyptian Dialect</t>
  </si>
  <si>
    <t>ما هي درجتي الائتمانية الحالية، وكيف تغيّرت خلال الأشهر الماضية؟</t>
  </si>
  <si>
    <t>ما هي أنواع الحسابات الائتمانية التي أملكها، وكم عدد كل نوع (متجددة/دوّارة مقابل تقسيط)؟</t>
  </si>
  <si>
    <t>أي جهة تمويل (بنك) أبلغت عن الحساب صاحب أعلى رصيد مستحق؟</t>
  </si>
  <si>
    <t>هل تأخرت أو تخلفت عن سداد أي دفعات خلال العام الماضي، وفي أي الحسابات؟</t>
  </si>
  <si>
    <t>هل أنا حاليًا طرف في أي إجراء قانوني (قضية) متعلق بأحد حساباتي؟</t>
  </si>
  <si>
    <t>هل قدّمت أي اعتراضات، وما حالة كل منها — تم حله، أو رُفض، أو ما زال قيد المراجعة؟</t>
  </si>
  <si>
    <t>كم مرة استعلمت عن تقريري الائتماني بنفسي مؤخرًا، ومن خلال أي قناة؟</t>
  </si>
  <si>
    <t>ما هو العامل الذي يؤثر سلبًا بأكبر قدر على درجتي الائتمانية الحالية؟</t>
  </si>
  <si>
    <t>الدرجة الائتمانية بتاعتي دلوقتي كام، وهي اتغيّرت إزاي في آخر شهور؟</t>
  </si>
  <si>
    <t>أنا عندي أنواع إيه من الحسابات الائتمانية، وكل نوع فيهم كام (زي الكارت اللي بيتجدد لوحده، ولا القرض اللي بيتقسط)؟</t>
  </si>
  <si>
    <t>أنهي جهة (بنك) هي اللي مسجّلة الحساب اللي عليه أعلى مبلغ مستحق؟</t>
  </si>
  <si>
    <t>اتأخرت أو فوّت أي دفعة في آخر سنة؟ في أنهي حسابات؟</t>
  </si>
  <si>
    <t>أنا فيه قضية قانونية شغالة دلوقتي متعلقة بأي حساب من حساباتي؟</t>
  </si>
  <si>
    <t>قدّمت أي اعتراضات؟ وكل اعتراض ماشي إزاي — اتحل، ولا اترفض، ولا لسه بيتراجع؟</t>
  </si>
  <si>
    <t>أنا استعلمت عن تقريري بنفسي كام مرة قريب، ومن خلال إيه (أبلكيشن، موقع، فرع...)؟</t>
  </si>
  <si>
    <t>أنهي عامل هو اللي بيأثر سلبي بشكل أكبر على درجتي الائتمانية دلوقتي؟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</si>
</sst>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2"/>
      <color rgb="FF2F549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1"/>
      <color theme="1"/>
      <name val="Calibri"/>
      <family val="2"/>
    </font>
    <font>
      <sz val="10"/>
      <color theme="1"/>
      <name val="Arial Unicode MS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F5496"/>
        <bgColor rgb="FF0066CC"/>
      </patternFill>
    </fill>
    <fill>
      <patternFill patternType="solid">
        <fgColor rgb="FF548235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3" fillId="4" borderId="0" xfId="0" applyFont="1" applyFill="1"/>
    <xf numFmtId="0" fontId="5" fillId="0" borderId="0" xfId="0" applyFont="1"/>
    <xf numFmtId="0" fontId="0" fillId="0" borderId="0" xfId="0" applyFill="1"/>
    <xf numFmtId="0" fontId="3" fillId="5" borderId="0" xfId="0" applyFont="1" applyFill="1"/>
    <xf numFmtId="0" fontId="6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4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9BF5-EC6A-4A18-92C2-114222B7B91E}">
  <dimension ref="A1:B14"/>
  <sheetViews>
    <sheetView workbookViewId="0">
      <selection activeCell="A2" sqref="A2:A8"/>
    </sheetView>
  </sheetViews>
  <sheetFormatPr defaultRowHeight="14.4"/>
  <cols>
    <col min="1" max="1" width="27.578125" customWidth="1"/>
    <col min="2" max="2" width="22.47265625" customWidth="1"/>
  </cols>
  <sheetData>
    <row r="1" spans="1:2">
      <c r="A1" s="10" t="s">
        <v>969</v>
      </c>
      <c r="B1" s="10" t="s">
        <v>970</v>
      </c>
    </row>
    <row r="2" spans="1:2">
      <c r="A2" t="s">
        <v>701</v>
      </c>
      <c r="B2" t="s">
        <v>979</v>
      </c>
    </row>
    <row r="3" spans="1:2">
      <c r="A3" t="s">
        <v>702</v>
      </c>
      <c r="B3" t="s">
        <v>971</v>
      </c>
    </row>
    <row r="4" spans="1:2">
      <c r="A4" t="s">
        <v>703</v>
      </c>
      <c r="B4" t="s">
        <v>980</v>
      </c>
    </row>
    <row r="5" spans="1:2">
      <c r="A5" t="s">
        <v>704</v>
      </c>
      <c r="B5" t="s">
        <v>976</v>
      </c>
    </row>
    <row r="6" spans="1:2">
      <c r="A6" t="s">
        <v>968</v>
      </c>
      <c r="B6" t="s">
        <v>977</v>
      </c>
    </row>
    <row r="7" spans="1:2">
      <c r="A7" t="s">
        <v>705</v>
      </c>
      <c r="B7" t="s">
        <v>978</v>
      </c>
    </row>
    <row r="8" spans="1:2">
      <c r="A8" t="s">
        <v>706</v>
      </c>
      <c r="B8" t="s">
        <v>972</v>
      </c>
    </row>
    <row r="9" spans="1:2">
      <c r="A9" t="s">
        <v>928</v>
      </c>
      <c r="B9" t="s">
        <v>973</v>
      </c>
    </row>
    <row r="10" spans="1:2">
      <c r="A10" s="8" t="s">
        <v>948</v>
      </c>
      <c r="B10" t="s">
        <v>974</v>
      </c>
    </row>
    <row r="11" spans="1:2">
      <c r="A11" s="8" t="s">
        <v>941</v>
      </c>
      <c r="B11" t="s">
        <v>975</v>
      </c>
    </row>
    <row r="12" spans="1:2">
      <c r="A12" s="5" t="s">
        <v>707</v>
      </c>
    </row>
    <row r="13" spans="1:2">
      <c r="A13" s="5" t="s">
        <v>708</v>
      </c>
    </row>
    <row r="14" spans="1:2">
      <c r="A14" s="5" t="s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EB9F-4B81-4FED-8F0D-A982E960CD5D}">
  <dimension ref="A1:D10"/>
  <sheetViews>
    <sheetView tabSelected="1" workbookViewId="0">
      <selection activeCell="D12" sqref="D12"/>
    </sheetView>
  </sheetViews>
  <sheetFormatPr defaultRowHeight="14.4"/>
  <cols>
    <col min="1" max="1" width="70.83984375" customWidth="1"/>
    <col min="2" max="2" width="46.05078125" customWidth="1"/>
    <col min="4" max="4" width="19.7890625" customWidth="1"/>
  </cols>
  <sheetData>
    <row r="1" spans="1:4">
      <c r="A1" s="10" t="s">
        <v>989</v>
      </c>
      <c r="B1" s="10" t="s">
        <v>990</v>
      </c>
      <c r="C1" s="10" t="s">
        <v>999</v>
      </c>
      <c r="D1" s="10" t="s">
        <v>1000</v>
      </c>
    </row>
    <row r="2" spans="1:4">
      <c r="A2" s="11" t="s">
        <v>981</v>
      </c>
      <c r="B2" s="12" t="s">
        <v>991</v>
      </c>
      <c r="C2" t="s">
        <v>1001</v>
      </c>
      <c r="D2" t="s">
        <v>1009</v>
      </c>
    </row>
    <row r="3" spans="1:4">
      <c r="A3" s="11" t="s">
        <v>982</v>
      </c>
      <c r="B3" s="12" t="s">
        <v>992</v>
      </c>
      <c r="C3" t="s">
        <v>1002</v>
      </c>
      <c r="D3" t="s">
        <v>1010</v>
      </c>
    </row>
    <row r="4" spans="1:4">
      <c r="A4" s="11" t="s">
        <v>983</v>
      </c>
      <c r="B4" s="12" t="s">
        <v>993</v>
      </c>
      <c r="C4" t="s">
        <v>1003</v>
      </c>
      <c r="D4" t="s">
        <v>1011</v>
      </c>
    </row>
    <row r="5" spans="1:4">
      <c r="A5" s="11" t="s">
        <v>984</v>
      </c>
      <c r="B5" s="12" t="s">
        <v>994</v>
      </c>
      <c r="C5" t="s">
        <v>1004</v>
      </c>
      <c r="D5" t="s">
        <v>1012</v>
      </c>
    </row>
    <row r="6" spans="1:4">
      <c r="A6" s="11" t="s">
        <v>985</v>
      </c>
      <c r="B6" s="12" t="s">
        <v>995</v>
      </c>
      <c r="C6" t="s">
        <v>1005</v>
      </c>
      <c r="D6" t="s">
        <v>1013</v>
      </c>
    </row>
    <row r="7" spans="1:4">
      <c r="A7" s="11" t="s">
        <v>986</v>
      </c>
      <c r="B7" s="12" t="s">
        <v>996</v>
      </c>
      <c r="C7" t="s">
        <v>1006</v>
      </c>
      <c r="D7" t="s">
        <v>1014</v>
      </c>
    </row>
    <row r="8" spans="1:4">
      <c r="A8" s="11" t="s">
        <v>987</v>
      </c>
      <c r="B8" s="12" t="s">
        <v>997</v>
      </c>
      <c r="C8" t="s">
        <v>1007</v>
      </c>
      <c r="D8" t="s">
        <v>1015</v>
      </c>
    </row>
    <row r="9" spans="1:4">
      <c r="A9" s="11" t="s">
        <v>988</v>
      </c>
      <c r="B9" s="12" t="s">
        <v>998</v>
      </c>
      <c r="C9" t="s">
        <v>1008</v>
      </c>
      <c r="D9" t="s">
        <v>1016</v>
      </c>
    </row>
    <row r="10" spans="1:4">
      <c r="A10" s="11"/>
      <c r="B1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zoomScaleNormal="100" workbookViewId="0">
      <pane ySplit="2" topLeftCell="A34" activePane="bottomLeft" state="frozen"/>
      <selection pane="bottomLeft" activeCell="A55" sqref="A55"/>
    </sheetView>
  </sheetViews>
  <sheetFormatPr defaultColWidth="8.68359375" defaultRowHeight="14.4"/>
  <cols>
    <col min="1" max="1" width="30" customWidth="1"/>
    <col min="2" max="2" width="20" customWidth="1"/>
    <col min="3" max="3" width="60" customWidth="1"/>
    <col min="4" max="4" width="45" customWidth="1"/>
  </cols>
  <sheetData>
    <row r="1" spans="1:4" ht="17.7">
      <c r="A1" s="1" t="s">
        <v>0</v>
      </c>
    </row>
    <row r="3" spans="1:4" ht="15.3">
      <c r="A3" s="2" t="s">
        <v>1</v>
      </c>
    </row>
    <row r="4" spans="1:4">
      <c r="A4" s="9" t="s">
        <v>2</v>
      </c>
      <c r="B4" s="9" t="s">
        <v>3</v>
      </c>
      <c r="C4" s="9" t="s">
        <v>4</v>
      </c>
      <c r="D4" s="9" t="s">
        <v>5</v>
      </c>
    </row>
    <row r="5" spans="1:4">
      <c r="A5" s="4" t="s">
        <v>6</v>
      </c>
      <c r="B5" s="4" t="s">
        <v>7</v>
      </c>
      <c r="C5" s="4" t="s">
        <v>8</v>
      </c>
      <c r="D5" s="4" t="s">
        <v>9</v>
      </c>
    </row>
    <row r="6" spans="1:4">
      <c r="A6" s="4" t="s">
        <v>10</v>
      </c>
      <c r="B6" s="4" t="s">
        <v>11</v>
      </c>
      <c r="C6" s="4" t="s">
        <v>12</v>
      </c>
      <c r="D6" s="4" t="s">
        <v>13</v>
      </c>
    </row>
    <row r="7" spans="1:4">
      <c r="A7" s="4" t="s">
        <v>14</v>
      </c>
      <c r="B7" s="4" t="s">
        <v>15</v>
      </c>
      <c r="C7" s="4"/>
      <c r="D7" s="4" t="s">
        <v>16</v>
      </c>
    </row>
    <row r="8" spans="1:4">
      <c r="A8" s="4" t="s">
        <v>17</v>
      </c>
      <c r="B8" s="4" t="s">
        <v>15</v>
      </c>
      <c r="C8" s="4"/>
      <c r="D8" s="4" t="s">
        <v>18</v>
      </c>
    </row>
    <row r="9" spans="1:4">
      <c r="A9" s="4" t="s">
        <v>19</v>
      </c>
      <c r="B9" s="4" t="s">
        <v>20</v>
      </c>
      <c r="C9" s="4"/>
      <c r="D9" s="4" t="s">
        <v>21</v>
      </c>
    </row>
    <row r="10" spans="1:4">
      <c r="A10" s="4" t="s">
        <v>22</v>
      </c>
      <c r="B10" s="4" t="s">
        <v>23</v>
      </c>
      <c r="C10" s="4" t="s">
        <v>24</v>
      </c>
      <c r="D10" s="4" t="s">
        <v>25</v>
      </c>
    </row>
    <row r="11" spans="1:4">
      <c r="A11" s="4" t="s">
        <v>26</v>
      </c>
      <c r="B11" s="4" t="s">
        <v>27</v>
      </c>
      <c r="C11" s="4" t="s">
        <v>28</v>
      </c>
      <c r="D11" s="4" t="s">
        <v>29</v>
      </c>
    </row>
    <row r="12" spans="1:4">
      <c r="A12" s="4" t="s">
        <v>30</v>
      </c>
      <c r="B12" s="4" t="s">
        <v>20</v>
      </c>
      <c r="C12" s="4" t="s">
        <v>31</v>
      </c>
      <c r="D12" s="4" t="s">
        <v>32</v>
      </c>
    </row>
    <row r="15" spans="1:4" ht="15.3">
      <c r="A15" s="2" t="s">
        <v>33</v>
      </c>
    </row>
    <row r="16" spans="1:4">
      <c r="A16" s="9" t="s">
        <v>2</v>
      </c>
      <c r="B16" s="9" t="s">
        <v>3</v>
      </c>
      <c r="C16" s="9" t="s">
        <v>4</v>
      </c>
      <c r="D16" s="9" t="s">
        <v>5</v>
      </c>
    </row>
    <row r="17" spans="1:4">
      <c r="A17" s="4" t="s">
        <v>34</v>
      </c>
      <c r="B17" s="4" t="s">
        <v>7</v>
      </c>
      <c r="C17" s="4" t="s">
        <v>8</v>
      </c>
      <c r="D17" s="4" t="s">
        <v>35</v>
      </c>
    </row>
    <row r="18" spans="1:4">
      <c r="A18" s="4" t="s">
        <v>36</v>
      </c>
      <c r="B18" s="4" t="s">
        <v>27</v>
      </c>
      <c r="C18" s="4"/>
      <c r="D18" s="4" t="s">
        <v>37</v>
      </c>
    </row>
    <row r="19" spans="1:4">
      <c r="A19" s="4" t="s">
        <v>38</v>
      </c>
      <c r="B19" s="4" t="s">
        <v>39</v>
      </c>
      <c r="C19" s="4" t="s">
        <v>40</v>
      </c>
      <c r="D19" s="4" t="s">
        <v>41</v>
      </c>
    </row>
    <row r="20" spans="1:4">
      <c r="A20" s="4" t="s">
        <v>42</v>
      </c>
      <c r="B20" s="4" t="s">
        <v>43</v>
      </c>
      <c r="C20" s="4" t="s">
        <v>44</v>
      </c>
      <c r="D20" s="4" t="s">
        <v>45</v>
      </c>
    </row>
    <row r="23" spans="1:4" ht="15.3">
      <c r="A23" s="2" t="s">
        <v>46</v>
      </c>
    </row>
    <row r="24" spans="1:4">
      <c r="A24" s="9" t="s">
        <v>2</v>
      </c>
      <c r="B24" s="9" t="s">
        <v>3</v>
      </c>
      <c r="C24" s="9" t="s">
        <v>4</v>
      </c>
      <c r="D24" s="9" t="s">
        <v>5</v>
      </c>
    </row>
    <row r="25" spans="1:4">
      <c r="A25" s="4" t="s">
        <v>47</v>
      </c>
      <c r="B25" s="4" t="s">
        <v>7</v>
      </c>
      <c r="C25" s="4" t="s">
        <v>48</v>
      </c>
      <c r="D25" s="4" t="s">
        <v>49</v>
      </c>
    </row>
    <row r="26" spans="1:4">
      <c r="A26" s="4" t="s">
        <v>50</v>
      </c>
      <c r="B26" s="4" t="s">
        <v>20</v>
      </c>
      <c r="C26" s="4"/>
      <c r="D26" s="4" t="s">
        <v>51</v>
      </c>
    </row>
    <row r="27" spans="1:4">
      <c r="A27" s="4" t="s">
        <v>52</v>
      </c>
      <c r="B27" s="4" t="s">
        <v>53</v>
      </c>
      <c r="C27" s="4"/>
      <c r="D27" s="4" t="s">
        <v>54</v>
      </c>
    </row>
    <row r="28" spans="1:4">
      <c r="A28" s="4" t="s">
        <v>55</v>
      </c>
      <c r="B28" s="4" t="s">
        <v>56</v>
      </c>
      <c r="C28" s="4" t="s">
        <v>57</v>
      </c>
      <c r="D28" s="4" t="s">
        <v>58</v>
      </c>
    </row>
    <row r="29" spans="1:4">
      <c r="A29" s="4" t="s">
        <v>59</v>
      </c>
      <c r="B29" s="4" t="s">
        <v>56</v>
      </c>
      <c r="C29" s="4" t="s">
        <v>60</v>
      </c>
      <c r="D29" s="4" t="s">
        <v>61</v>
      </c>
    </row>
    <row r="30" spans="1:4">
      <c r="A30" s="4" t="s">
        <v>62</v>
      </c>
      <c r="B30" s="4" t="s">
        <v>53</v>
      </c>
      <c r="C30" s="4"/>
      <c r="D30" s="4" t="s">
        <v>63</v>
      </c>
    </row>
    <row r="31" spans="1:4">
      <c r="A31" s="4" t="s">
        <v>64</v>
      </c>
      <c r="B31" s="4" t="s">
        <v>56</v>
      </c>
      <c r="C31" s="4" t="s">
        <v>65</v>
      </c>
      <c r="D31" s="4" t="s">
        <v>66</v>
      </c>
    </row>
    <row r="32" spans="1:4">
      <c r="A32" s="4" t="s">
        <v>67</v>
      </c>
      <c r="B32" s="4" t="s">
        <v>56</v>
      </c>
      <c r="C32" s="4"/>
      <c r="D32" s="4" t="s">
        <v>68</v>
      </c>
    </row>
    <row r="33" spans="1:4">
      <c r="A33" s="4" t="s">
        <v>69</v>
      </c>
      <c r="B33" s="4" t="s">
        <v>43</v>
      </c>
      <c r="C33" s="4"/>
      <c r="D33" s="4" t="s">
        <v>70</v>
      </c>
    </row>
    <row r="34" spans="1:4">
      <c r="A34" s="4" t="s">
        <v>71</v>
      </c>
      <c r="B34" s="4" t="s">
        <v>43</v>
      </c>
      <c r="C34" s="4" t="s">
        <v>72</v>
      </c>
      <c r="D34" s="4" t="s">
        <v>45</v>
      </c>
    </row>
    <row r="37" spans="1:4" ht="15.3">
      <c r="A37" s="2" t="s">
        <v>73</v>
      </c>
    </row>
    <row r="38" spans="1:4">
      <c r="A38" s="9" t="s">
        <v>2</v>
      </c>
      <c r="B38" s="9" t="s">
        <v>3</v>
      </c>
      <c r="C38" s="9" t="s">
        <v>4</v>
      </c>
      <c r="D38" s="9" t="s">
        <v>5</v>
      </c>
    </row>
    <row r="39" spans="1:4">
      <c r="A39" s="4" t="s">
        <v>74</v>
      </c>
      <c r="B39" s="4" t="s">
        <v>7</v>
      </c>
      <c r="C39" s="4" t="s">
        <v>8</v>
      </c>
      <c r="D39" s="4" t="s">
        <v>61</v>
      </c>
    </row>
    <row r="40" spans="1:4">
      <c r="A40" s="4" t="s">
        <v>75</v>
      </c>
      <c r="B40" s="4" t="s">
        <v>39</v>
      </c>
      <c r="C40" s="4"/>
      <c r="D40" s="4" t="s">
        <v>76</v>
      </c>
    </row>
    <row r="41" spans="1:4">
      <c r="A41" s="4" t="s">
        <v>77</v>
      </c>
      <c r="B41" s="4" t="s">
        <v>11</v>
      </c>
      <c r="C41" s="4" t="s">
        <v>78</v>
      </c>
      <c r="D41" s="4" t="s">
        <v>79</v>
      </c>
    </row>
    <row r="44" spans="1:4" ht="15.3">
      <c r="A44" s="2" t="s">
        <v>963</v>
      </c>
    </row>
    <row r="45" spans="1:4">
      <c r="A45" s="9" t="s">
        <v>2</v>
      </c>
      <c r="B45" s="9" t="s">
        <v>3</v>
      </c>
      <c r="C45" s="9" t="s">
        <v>4</v>
      </c>
      <c r="D45" s="9" t="s">
        <v>5</v>
      </c>
    </row>
    <row r="46" spans="1:4">
      <c r="A46" s="4" t="s">
        <v>964</v>
      </c>
      <c r="B46" s="4" t="s">
        <v>81</v>
      </c>
      <c r="C46" s="4" t="s">
        <v>965</v>
      </c>
      <c r="D46" s="4" t="s">
        <v>82</v>
      </c>
    </row>
    <row r="47" spans="1:4">
      <c r="A47" s="4" t="s">
        <v>6</v>
      </c>
      <c r="B47" s="4" t="s">
        <v>83</v>
      </c>
      <c r="C47" s="4"/>
      <c r="D47" s="4" t="s">
        <v>9</v>
      </c>
    </row>
    <row r="48" spans="1:4">
      <c r="A48" s="4" t="s">
        <v>34</v>
      </c>
      <c r="B48" s="4" t="s">
        <v>83</v>
      </c>
      <c r="C48" s="4"/>
      <c r="D48" s="4" t="s">
        <v>35</v>
      </c>
    </row>
    <row r="49" spans="1:4">
      <c r="A49" s="4" t="s">
        <v>74</v>
      </c>
      <c r="B49" s="4" t="s">
        <v>83</v>
      </c>
      <c r="C49" s="4"/>
      <c r="D49" s="4" t="s">
        <v>84</v>
      </c>
    </row>
    <row r="50" spans="1:4">
      <c r="A50" s="4" t="s">
        <v>85</v>
      </c>
      <c r="B50" s="4" t="s">
        <v>20</v>
      </c>
      <c r="C50" s="4"/>
      <c r="D50" s="4" t="s">
        <v>86</v>
      </c>
    </row>
    <row r="51" spans="1:4">
      <c r="A51" s="4" t="s">
        <v>87</v>
      </c>
      <c r="B51" s="4" t="s">
        <v>20</v>
      </c>
      <c r="C51" s="4" t="s">
        <v>88</v>
      </c>
      <c r="D51" s="4" t="s">
        <v>89</v>
      </c>
    </row>
    <row r="52" spans="1:4">
      <c r="A52" s="4" t="s">
        <v>90</v>
      </c>
      <c r="B52" s="4" t="s">
        <v>91</v>
      </c>
      <c r="C52" s="4" t="s">
        <v>92</v>
      </c>
      <c r="D52" s="4" t="s">
        <v>93</v>
      </c>
    </row>
    <row r="53" spans="1:4">
      <c r="A53" s="4" t="s">
        <v>94</v>
      </c>
      <c r="B53" s="4" t="s">
        <v>91</v>
      </c>
      <c r="C53" s="4" t="s">
        <v>966</v>
      </c>
      <c r="D53" s="4" t="s">
        <v>95</v>
      </c>
    </row>
    <row r="54" spans="1:4">
      <c r="A54" s="4" t="s">
        <v>96</v>
      </c>
      <c r="B54" s="4" t="s">
        <v>11</v>
      </c>
      <c r="C54" s="4" t="s">
        <v>97</v>
      </c>
      <c r="D54" s="4" t="s">
        <v>98</v>
      </c>
    </row>
    <row r="55" spans="1:4">
      <c r="A55" s="4" t="s">
        <v>99</v>
      </c>
      <c r="B55" s="4" t="s">
        <v>91</v>
      </c>
      <c r="C55" s="4" t="s">
        <v>967</v>
      </c>
      <c r="D55" s="4" t="s">
        <v>100</v>
      </c>
    </row>
    <row r="58" spans="1:4" ht="15.3">
      <c r="A58" s="2" t="s">
        <v>101</v>
      </c>
    </row>
    <row r="59" spans="1:4">
      <c r="A59" s="3" t="s">
        <v>2</v>
      </c>
      <c r="B59" s="3" t="s">
        <v>3</v>
      </c>
      <c r="C59" s="3" t="s">
        <v>4</v>
      </c>
      <c r="D59" s="3" t="s">
        <v>5</v>
      </c>
    </row>
    <row r="60" spans="1:4">
      <c r="A60" s="4" t="s">
        <v>80</v>
      </c>
      <c r="B60" s="4" t="s">
        <v>102</v>
      </c>
      <c r="C60" s="4" t="s">
        <v>103</v>
      </c>
      <c r="D60" s="4" t="s">
        <v>82</v>
      </c>
    </row>
    <row r="61" spans="1:4">
      <c r="A61" s="4" t="s">
        <v>47</v>
      </c>
      <c r="B61" s="4" t="s">
        <v>102</v>
      </c>
      <c r="C61" s="4" t="s">
        <v>104</v>
      </c>
      <c r="D61" s="4" t="s">
        <v>105</v>
      </c>
    </row>
    <row r="62" spans="1:4">
      <c r="A62" s="4" t="s">
        <v>106</v>
      </c>
      <c r="B62" s="4" t="s">
        <v>107</v>
      </c>
      <c r="C62" s="4" t="s">
        <v>108</v>
      </c>
      <c r="D62" s="4" t="s">
        <v>109</v>
      </c>
    </row>
    <row r="63" spans="1:4">
      <c r="A63" s="4" t="s">
        <v>110</v>
      </c>
      <c r="B63" s="4" t="s">
        <v>111</v>
      </c>
      <c r="C63" s="4"/>
      <c r="D63" s="4" t="s">
        <v>112</v>
      </c>
    </row>
    <row r="64" spans="1:4">
      <c r="A64" s="4" t="s">
        <v>113</v>
      </c>
      <c r="B64" s="4" t="s">
        <v>111</v>
      </c>
      <c r="C64" s="4"/>
      <c r="D64" s="4" t="s">
        <v>112</v>
      </c>
    </row>
    <row r="67" spans="1:4" ht="15.3">
      <c r="A67" s="2" t="s">
        <v>114</v>
      </c>
    </row>
    <row r="68" spans="1:4">
      <c r="A68" s="3" t="s">
        <v>2</v>
      </c>
      <c r="B68" s="3" t="s">
        <v>3</v>
      </c>
      <c r="C68" s="3" t="s">
        <v>4</v>
      </c>
      <c r="D68" s="3" t="s">
        <v>5</v>
      </c>
    </row>
    <row r="69" spans="1:4">
      <c r="A69" s="4" t="s">
        <v>115</v>
      </c>
      <c r="B69" s="4" t="s">
        <v>81</v>
      </c>
      <c r="C69" s="4" t="s">
        <v>116</v>
      </c>
      <c r="D69" s="4" t="s">
        <v>117</v>
      </c>
    </row>
    <row r="70" spans="1:4">
      <c r="A70" s="4" t="s">
        <v>6</v>
      </c>
      <c r="B70" s="4" t="s">
        <v>83</v>
      </c>
      <c r="C70" s="4"/>
      <c r="D70" s="4" t="s">
        <v>9</v>
      </c>
    </row>
    <row r="71" spans="1:4">
      <c r="A71" s="4" t="s">
        <v>47</v>
      </c>
      <c r="B71" s="4" t="s">
        <v>83</v>
      </c>
      <c r="C71" s="4"/>
      <c r="D71" s="4" t="s">
        <v>49</v>
      </c>
    </row>
    <row r="72" spans="1:4">
      <c r="A72" s="4" t="s">
        <v>118</v>
      </c>
      <c r="B72" s="4" t="s">
        <v>56</v>
      </c>
      <c r="C72" s="4" t="s">
        <v>119</v>
      </c>
      <c r="D72" s="4" t="s">
        <v>120</v>
      </c>
    </row>
    <row r="75" spans="1:4" ht="15.3">
      <c r="A75" s="2" t="s">
        <v>121</v>
      </c>
    </row>
    <row r="76" spans="1:4">
      <c r="A76" s="3" t="s">
        <v>2</v>
      </c>
      <c r="B76" s="3" t="s">
        <v>3</v>
      </c>
      <c r="C76" s="3" t="s">
        <v>4</v>
      </c>
      <c r="D76" s="3" t="s">
        <v>5</v>
      </c>
    </row>
    <row r="77" spans="1:4">
      <c r="A77" s="4" t="s">
        <v>115</v>
      </c>
      <c r="B77" s="4" t="s">
        <v>102</v>
      </c>
      <c r="C77" s="4" t="s">
        <v>122</v>
      </c>
      <c r="D77" s="4" t="s">
        <v>117</v>
      </c>
    </row>
    <row r="78" spans="1:4">
      <c r="A78" s="4" t="s">
        <v>123</v>
      </c>
      <c r="B78" s="4" t="s">
        <v>124</v>
      </c>
      <c r="C78" s="4" t="s">
        <v>125</v>
      </c>
      <c r="D78" s="4" t="s">
        <v>126</v>
      </c>
    </row>
    <row r="79" spans="1:4">
      <c r="A79" s="4" t="s">
        <v>127</v>
      </c>
      <c r="B79" s="4" t="s">
        <v>128</v>
      </c>
      <c r="C79" s="4" t="s">
        <v>129</v>
      </c>
      <c r="D79" s="4" t="s">
        <v>130</v>
      </c>
    </row>
    <row r="80" spans="1:4">
      <c r="A80" s="4" t="s">
        <v>131</v>
      </c>
      <c r="B80" s="4" t="s">
        <v>132</v>
      </c>
      <c r="C80" s="4" t="s">
        <v>133</v>
      </c>
      <c r="D80" s="4" t="s">
        <v>134</v>
      </c>
    </row>
    <row r="81" spans="1:4">
      <c r="A81" s="4" t="s">
        <v>135</v>
      </c>
      <c r="B81" s="4" t="s">
        <v>53</v>
      </c>
      <c r="C81" s="4" t="s">
        <v>136</v>
      </c>
      <c r="D81" s="4" t="s">
        <v>137</v>
      </c>
    </row>
    <row r="84" spans="1:4" ht="15.3">
      <c r="A84" s="2" t="s">
        <v>138</v>
      </c>
    </row>
    <row r="85" spans="1:4">
      <c r="A85" s="3" t="s">
        <v>2</v>
      </c>
      <c r="B85" s="3" t="s">
        <v>3</v>
      </c>
      <c r="C85" s="3" t="s">
        <v>4</v>
      </c>
      <c r="D85" s="3" t="s">
        <v>5</v>
      </c>
    </row>
    <row r="86" spans="1:4">
      <c r="A86" s="4" t="s">
        <v>139</v>
      </c>
      <c r="B86" s="4" t="s">
        <v>81</v>
      </c>
      <c r="C86" s="4" t="s">
        <v>140</v>
      </c>
      <c r="D86" s="4" t="s">
        <v>141</v>
      </c>
    </row>
    <row r="87" spans="1:4">
      <c r="A87" s="4" t="s">
        <v>6</v>
      </c>
      <c r="B87" s="4" t="s">
        <v>83</v>
      </c>
      <c r="C87" s="4"/>
      <c r="D87" s="4" t="s">
        <v>9</v>
      </c>
    </row>
    <row r="88" spans="1:4">
      <c r="A88" s="4" t="s">
        <v>34</v>
      </c>
      <c r="B88" s="4" t="s">
        <v>83</v>
      </c>
      <c r="C88" s="4" t="s">
        <v>142</v>
      </c>
      <c r="D88" s="4" t="s">
        <v>35</v>
      </c>
    </row>
    <row r="89" spans="1:4">
      <c r="A89" s="4" t="s">
        <v>47</v>
      </c>
      <c r="B89" s="4" t="s">
        <v>83</v>
      </c>
      <c r="C89" s="4"/>
      <c r="D89" s="4" t="s">
        <v>143</v>
      </c>
    </row>
    <row r="90" spans="1:4">
      <c r="A90" s="4" t="s">
        <v>144</v>
      </c>
      <c r="B90" s="4" t="s">
        <v>53</v>
      </c>
      <c r="C90" s="4" t="s">
        <v>145</v>
      </c>
      <c r="D90" s="4" t="s">
        <v>146</v>
      </c>
    </row>
    <row r="93" spans="1:4" ht="15.3" hidden="1">
      <c r="A93" s="2" t="s">
        <v>147</v>
      </c>
    </row>
    <row r="94" spans="1:4" hidden="1">
      <c r="A94" s="3" t="s">
        <v>2</v>
      </c>
      <c r="B94" s="3" t="s">
        <v>3</v>
      </c>
      <c r="C94" s="3" t="s">
        <v>4</v>
      </c>
      <c r="D94" s="3" t="s">
        <v>5</v>
      </c>
    </row>
    <row r="95" spans="1:4" hidden="1">
      <c r="A95" s="4" t="s">
        <v>148</v>
      </c>
      <c r="B95" s="4" t="s">
        <v>81</v>
      </c>
      <c r="C95" s="4" t="s">
        <v>149</v>
      </c>
      <c r="D95" s="4" t="s">
        <v>150</v>
      </c>
    </row>
    <row r="96" spans="1:4" hidden="1">
      <c r="A96" s="4" t="s">
        <v>80</v>
      </c>
      <c r="B96" s="4" t="s">
        <v>83</v>
      </c>
      <c r="C96" s="4" t="s">
        <v>151</v>
      </c>
      <c r="D96" s="4" t="s">
        <v>152</v>
      </c>
    </row>
    <row r="97" spans="1:4" hidden="1">
      <c r="A97" s="4" t="s">
        <v>6</v>
      </c>
      <c r="B97" s="4" t="s">
        <v>83</v>
      </c>
      <c r="C97" s="4"/>
      <c r="D97" s="4" t="s">
        <v>9</v>
      </c>
    </row>
    <row r="98" spans="1:4" hidden="1">
      <c r="A98" s="4" t="s">
        <v>153</v>
      </c>
      <c r="B98" s="4" t="s">
        <v>27</v>
      </c>
      <c r="C98" s="4"/>
      <c r="D98" s="4" t="s">
        <v>154</v>
      </c>
    </row>
    <row r="99" spans="1:4" hidden="1">
      <c r="A99" s="4" t="s">
        <v>155</v>
      </c>
      <c r="B99" s="4" t="s">
        <v>83</v>
      </c>
      <c r="C99" s="4" t="s">
        <v>156</v>
      </c>
      <c r="D99" s="4" t="s">
        <v>157</v>
      </c>
    </row>
    <row r="100" spans="1:4" hidden="1">
      <c r="A100" s="4" t="s">
        <v>158</v>
      </c>
      <c r="B100" s="4" t="s">
        <v>111</v>
      </c>
      <c r="C100" s="4"/>
      <c r="D100" s="4" t="s">
        <v>159</v>
      </c>
    </row>
    <row r="101" spans="1:4" hidden="1">
      <c r="A101" s="4" t="s">
        <v>160</v>
      </c>
      <c r="B101" s="4" t="s">
        <v>20</v>
      </c>
      <c r="C101" s="4"/>
      <c r="D101" s="4" t="s">
        <v>161</v>
      </c>
    </row>
    <row r="102" spans="1:4" hidden="1">
      <c r="A102" s="4" t="s">
        <v>96</v>
      </c>
      <c r="B102" s="4" t="s">
        <v>107</v>
      </c>
      <c r="C102" s="4" t="s">
        <v>162</v>
      </c>
      <c r="D102" s="4" t="s">
        <v>163</v>
      </c>
    </row>
    <row r="104" spans="1:4" ht="15.3">
      <c r="A104" s="2" t="s">
        <v>928</v>
      </c>
    </row>
    <row r="105" spans="1:4">
      <c r="A105" s="7" t="s">
        <v>929</v>
      </c>
    </row>
    <row r="106" spans="1:4">
      <c r="A106" s="6" t="s">
        <v>2</v>
      </c>
      <c r="B106" s="6" t="s">
        <v>3</v>
      </c>
      <c r="C106" s="6" t="s">
        <v>4</v>
      </c>
      <c r="D106" s="6" t="s">
        <v>5</v>
      </c>
    </row>
    <row r="107" spans="1:4">
      <c r="A107" s="4" t="s">
        <v>710</v>
      </c>
      <c r="B107" s="4" t="s">
        <v>81</v>
      </c>
      <c r="C107" s="4" t="s">
        <v>930</v>
      </c>
      <c r="D107" s="4" t="s">
        <v>931</v>
      </c>
    </row>
    <row r="108" spans="1:4">
      <c r="A108" s="4" t="s">
        <v>6</v>
      </c>
      <c r="B108" s="4" t="s">
        <v>83</v>
      </c>
      <c r="C108" s="4"/>
      <c r="D108" s="4" t="s">
        <v>9</v>
      </c>
    </row>
    <row r="109" spans="1:4">
      <c r="A109" s="4" t="s">
        <v>80</v>
      </c>
      <c r="B109" s="4" t="s">
        <v>932</v>
      </c>
      <c r="C109" s="4" t="s">
        <v>933</v>
      </c>
      <c r="D109" s="4" t="s">
        <v>152</v>
      </c>
    </row>
    <row r="110" spans="1:4">
      <c r="A110" s="4" t="s">
        <v>711</v>
      </c>
      <c r="B110" s="4" t="s">
        <v>934</v>
      </c>
      <c r="C110" s="4" t="s">
        <v>935</v>
      </c>
      <c r="D110" s="4" t="s">
        <v>724</v>
      </c>
    </row>
    <row r="111" spans="1:4">
      <c r="A111" s="4" t="s">
        <v>712</v>
      </c>
      <c r="B111" s="4" t="s">
        <v>20</v>
      </c>
      <c r="C111" s="4"/>
      <c r="D111" s="4" t="s">
        <v>784</v>
      </c>
    </row>
    <row r="112" spans="1:4">
      <c r="A112" s="4" t="s">
        <v>713</v>
      </c>
      <c r="B112" s="4" t="s">
        <v>11</v>
      </c>
      <c r="C112" s="4" t="s">
        <v>936</v>
      </c>
      <c r="D112" s="4" t="s">
        <v>718</v>
      </c>
    </row>
    <row r="113" spans="1:4">
      <c r="A113" s="4" t="s">
        <v>96</v>
      </c>
      <c r="B113" s="4" t="s">
        <v>934</v>
      </c>
      <c r="C113" s="4" t="s">
        <v>937</v>
      </c>
      <c r="D113" s="4" t="s">
        <v>732</v>
      </c>
    </row>
    <row r="114" spans="1:4">
      <c r="A114" s="4" t="s">
        <v>714</v>
      </c>
      <c r="B114" s="4" t="s">
        <v>938</v>
      </c>
      <c r="C114" s="4" t="s">
        <v>939</v>
      </c>
      <c r="D114" s="4" t="s">
        <v>740</v>
      </c>
    </row>
    <row r="115" spans="1:4">
      <c r="A115" s="4" t="s">
        <v>715</v>
      </c>
      <c r="B115" s="4" t="s">
        <v>940</v>
      </c>
      <c r="C115" s="4"/>
      <c r="D115" s="4" t="s">
        <v>723</v>
      </c>
    </row>
    <row r="118" spans="1:4" ht="15.3">
      <c r="A118" s="2" t="s">
        <v>941</v>
      </c>
    </row>
    <row r="119" spans="1:4">
      <c r="A119" s="7" t="s">
        <v>942</v>
      </c>
    </row>
    <row r="120" spans="1:4">
      <c r="A120" s="6" t="s">
        <v>2</v>
      </c>
      <c r="B120" s="6" t="s">
        <v>3</v>
      </c>
      <c r="C120" s="6" t="s">
        <v>4</v>
      </c>
      <c r="D120" s="6" t="s">
        <v>5</v>
      </c>
    </row>
    <row r="121" spans="1:4">
      <c r="A121" s="4" t="s">
        <v>803</v>
      </c>
      <c r="B121" s="4" t="s">
        <v>81</v>
      </c>
      <c r="C121" s="4" t="s">
        <v>943</v>
      </c>
      <c r="D121" s="4" t="s">
        <v>944</v>
      </c>
    </row>
    <row r="122" spans="1:4">
      <c r="A122" s="4" t="s">
        <v>6</v>
      </c>
      <c r="B122" s="4" t="s">
        <v>83</v>
      </c>
      <c r="C122" s="4"/>
      <c r="D122" s="4" t="s">
        <v>9</v>
      </c>
    </row>
    <row r="123" spans="1:4">
      <c r="A123" s="4" t="s">
        <v>47</v>
      </c>
      <c r="B123" s="4" t="s">
        <v>83</v>
      </c>
      <c r="C123" s="4"/>
      <c r="D123" s="4" t="s">
        <v>945</v>
      </c>
    </row>
    <row r="124" spans="1:4">
      <c r="A124" s="4" t="s">
        <v>804</v>
      </c>
      <c r="B124" s="4" t="s">
        <v>39</v>
      </c>
      <c r="C124" s="4" t="s">
        <v>946</v>
      </c>
      <c r="D124" s="4" t="s">
        <v>728</v>
      </c>
    </row>
    <row r="125" spans="1:4">
      <c r="A125" s="4" t="s">
        <v>805</v>
      </c>
      <c r="B125" s="4" t="s">
        <v>39</v>
      </c>
      <c r="C125" s="4" t="s">
        <v>947</v>
      </c>
      <c r="D125" s="4" t="s">
        <v>807</v>
      </c>
    </row>
    <row r="128" spans="1:4" ht="15.3">
      <c r="A128" s="2" t="s">
        <v>948</v>
      </c>
    </row>
    <row r="129" spans="1:4">
      <c r="A129" s="7" t="s">
        <v>949</v>
      </c>
    </row>
    <row r="130" spans="1:4">
      <c r="A130" s="6" t="s">
        <v>2</v>
      </c>
      <c r="B130" s="6" t="s">
        <v>3</v>
      </c>
      <c r="C130" s="6" t="s">
        <v>4</v>
      </c>
      <c r="D130" s="6" t="s">
        <v>5</v>
      </c>
    </row>
    <row r="131" spans="1:4">
      <c r="A131" s="4" t="s">
        <v>813</v>
      </c>
      <c r="B131" s="4" t="s">
        <v>81</v>
      </c>
      <c r="C131" s="4" t="s">
        <v>950</v>
      </c>
      <c r="D131" s="4" t="s">
        <v>951</v>
      </c>
    </row>
    <row r="132" spans="1:4">
      <c r="A132" s="4" t="s">
        <v>6</v>
      </c>
      <c r="B132" s="4" t="s">
        <v>83</v>
      </c>
      <c r="C132" s="4"/>
      <c r="D132" s="4" t="s">
        <v>9</v>
      </c>
    </row>
    <row r="133" spans="1:4">
      <c r="A133" s="4" t="s">
        <v>80</v>
      </c>
      <c r="B133" s="4" t="s">
        <v>83</v>
      </c>
      <c r="C133" s="4" t="s">
        <v>952</v>
      </c>
      <c r="D133" s="4" t="s">
        <v>152</v>
      </c>
    </row>
    <row r="134" spans="1:4">
      <c r="A134" s="4" t="s">
        <v>814</v>
      </c>
      <c r="B134" s="4" t="s">
        <v>83</v>
      </c>
      <c r="C134" s="4" t="s">
        <v>953</v>
      </c>
      <c r="D134" s="4" t="s">
        <v>157</v>
      </c>
    </row>
    <row r="135" spans="1:4">
      <c r="A135" s="4" t="s">
        <v>815</v>
      </c>
      <c r="B135" s="4" t="s">
        <v>11</v>
      </c>
      <c r="C135" s="4" t="s">
        <v>954</v>
      </c>
      <c r="D135" s="4" t="s">
        <v>955</v>
      </c>
    </row>
    <row r="136" spans="1:4">
      <c r="A136" s="4" t="s">
        <v>816</v>
      </c>
      <c r="B136" s="4" t="s">
        <v>956</v>
      </c>
      <c r="C136" s="4" t="s">
        <v>957</v>
      </c>
      <c r="D136" s="4" t="s">
        <v>827</v>
      </c>
    </row>
    <row r="137" spans="1:4">
      <c r="A137" s="4" t="s">
        <v>817</v>
      </c>
      <c r="B137" s="4" t="s">
        <v>20</v>
      </c>
      <c r="C137" s="4"/>
      <c r="D137" s="4" t="s">
        <v>958</v>
      </c>
    </row>
    <row r="138" spans="1:4">
      <c r="A138" s="4" t="s">
        <v>818</v>
      </c>
      <c r="B138" s="4" t="s">
        <v>11</v>
      </c>
      <c r="C138" s="4" t="s">
        <v>959</v>
      </c>
      <c r="D138" s="4" t="s">
        <v>824</v>
      </c>
    </row>
    <row r="139" spans="1:4">
      <c r="A139" s="4" t="s">
        <v>819</v>
      </c>
      <c r="B139" s="4" t="s">
        <v>960</v>
      </c>
      <c r="C139" s="4" t="s">
        <v>961</v>
      </c>
      <c r="D139" s="4" t="s">
        <v>962</v>
      </c>
    </row>
    <row r="140" spans="1:4">
      <c r="A140" s="4" t="s">
        <v>820</v>
      </c>
      <c r="B140" s="4" t="s">
        <v>938</v>
      </c>
      <c r="C140" s="4" t="s">
        <v>961</v>
      </c>
      <c r="D140" s="4" t="s">
        <v>892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2F3C-3582-4A68-B21B-3832DDACC3C5}">
  <dimension ref="A1:I56"/>
  <sheetViews>
    <sheetView workbookViewId="0">
      <selection activeCell="A55" sqref="A55"/>
    </sheetView>
  </sheetViews>
  <sheetFormatPr defaultRowHeight="14.4"/>
  <sheetData>
    <row r="1" spans="1:9">
      <c r="A1" s="6" t="s">
        <v>710</v>
      </c>
      <c r="B1" s="6" t="s">
        <v>6</v>
      </c>
      <c r="C1" s="6" t="s">
        <v>80</v>
      </c>
      <c r="D1" s="6" t="s">
        <v>711</v>
      </c>
      <c r="E1" s="6" t="s">
        <v>712</v>
      </c>
      <c r="F1" s="6" t="s">
        <v>713</v>
      </c>
      <c r="G1" s="6" t="s">
        <v>96</v>
      </c>
      <c r="H1" s="6" t="s">
        <v>714</v>
      </c>
      <c r="I1" s="6" t="s">
        <v>715</v>
      </c>
    </row>
    <row r="2" spans="1:9">
      <c r="A2" s="4">
        <v>8001</v>
      </c>
      <c r="B2" s="4">
        <v>1021</v>
      </c>
      <c r="C2" s="4">
        <v>5030</v>
      </c>
      <c r="D2" s="4" t="s">
        <v>716</v>
      </c>
      <c r="E2" s="4" t="s">
        <v>717</v>
      </c>
      <c r="F2" s="4" t="s">
        <v>718</v>
      </c>
      <c r="G2" s="4" t="s">
        <v>719</v>
      </c>
      <c r="H2" s="4"/>
      <c r="I2" s="4"/>
    </row>
    <row r="3" spans="1:9">
      <c r="A3" s="4">
        <v>8002</v>
      </c>
      <c r="B3" s="4">
        <v>1046</v>
      </c>
      <c r="C3" s="4">
        <v>5021</v>
      </c>
      <c r="D3" s="4" t="s">
        <v>716</v>
      </c>
      <c r="E3" s="4" t="s">
        <v>720</v>
      </c>
      <c r="F3" s="4" t="s">
        <v>718</v>
      </c>
      <c r="G3" s="4" t="s">
        <v>721</v>
      </c>
      <c r="H3" s="4" t="s">
        <v>722</v>
      </c>
      <c r="I3" s="4" t="s">
        <v>723</v>
      </c>
    </row>
    <row r="4" spans="1:9">
      <c r="A4" s="4">
        <v>8003</v>
      </c>
      <c r="B4" s="4">
        <v>1032</v>
      </c>
      <c r="C4" s="4"/>
      <c r="D4" s="4" t="s">
        <v>724</v>
      </c>
      <c r="E4" s="4" t="s">
        <v>725</v>
      </c>
      <c r="F4" s="4" t="s">
        <v>726</v>
      </c>
      <c r="G4" s="4" t="s">
        <v>719</v>
      </c>
      <c r="H4" s="4"/>
      <c r="I4" s="4"/>
    </row>
    <row r="5" spans="1:9">
      <c r="A5" s="4">
        <v>8004</v>
      </c>
      <c r="B5" s="4">
        <v>1053</v>
      </c>
      <c r="C5" s="4"/>
      <c r="D5" s="4" t="s">
        <v>724</v>
      </c>
      <c r="E5" s="4" t="s">
        <v>727</v>
      </c>
      <c r="F5" s="4" t="s">
        <v>728</v>
      </c>
      <c r="G5" s="4" t="s">
        <v>729</v>
      </c>
      <c r="H5" s="4"/>
      <c r="I5" s="4"/>
    </row>
    <row r="6" spans="1:9">
      <c r="A6" s="4">
        <v>8005</v>
      </c>
      <c r="B6" s="4">
        <v>1026</v>
      </c>
      <c r="C6" s="4"/>
      <c r="D6" s="4" t="s">
        <v>730</v>
      </c>
      <c r="E6" s="4" t="s">
        <v>731</v>
      </c>
      <c r="F6" s="4" t="s">
        <v>728</v>
      </c>
      <c r="G6" s="4" t="s">
        <v>732</v>
      </c>
      <c r="H6" s="4" t="s">
        <v>733</v>
      </c>
      <c r="I6" s="4" t="s">
        <v>723</v>
      </c>
    </row>
    <row r="7" spans="1:9">
      <c r="A7" s="4">
        <v>8006</v>
      </c>
      <c r="B7" s="4">
        <v>1034</v>
      </c>
      <c r="C7" s="4"/>
      <c r="D7" s="4" t="s">
        <v>734</v>
      </c>
      <c r="E7" s="4" t="s">
        <v>735</v>
      </c>
      <c r="F7" s="4" t="s">
        <v>718</v>
      </c>
      <c r="G7" s="4" t="s">
        <v>732</v>
      </c>
      <c r="H7" s="4" t="s">
        <v>736</v>
      </c>
      <c r="I7" s="4" t="s">
        <v>723</v>
      </c>
    </row>
    <row r="8" spans="1:9">
      <c r="A8" s="4">
        <v>8007</v>
      </c>
      <c r="B8" s="4">
        <v>1035</v>
      </c>
      <c r="C8" s="4">
        <v>5089</v>
      </c>
      <c r="D8" s="4" t="s">
        <v>724</v>
      </c>
      <c r="E8" s="4" t="s">
        <v>737</v>
      </c>
      <c r="F8" s="4" t="s">
        <v>726</v>
      </c>
      <c r="G8" s="4" t="s">
        <v>732</v>
      </c>
      <c r="H8" s="4" t="s">
        <v>738</v>
      </c>
      <c r="I8" s="4" t="s">
        <v>723</v>
      </c>
    </row>
    <row r="9" spans="1:9">
      <c r="A9" s="4">
        <v>8008</v>
      </c>
      <c r="B9" s="4">
        <v>1050</v>
      </c>
      <c r="C9" s="4">
        <v>5058</v>
      </c>
      <c r="D9" s="4" t="s">
        <v>716</v>
      </c>
      <c r="E9" s="4" t="s">
        <v>739</v>
      </c>
      <c r="F9" s="4" t="s">
        <v>726</v>
      </c>
      <c r="G9" s="4" t="s">
        <v>732</v>
      </c>
      <c r="H9" s="4" t="s">
        <v>740</v>
      </c>
      <c r="I9" s="4" t="s">
        <v>723</v>
      </c>
    </row>
    <row r="10" spans="1:9">
      <c r="A10" s="4">
        <v>8009</v>
      </c>
      <c r="B10" s="4">
        <v>1021</v>
      </c>
      <c r="C10" s="4">
        <v>5030</v>
      </c>
      <c r="D10" s="4" t="s">
        <v>724</v>
      </c>
      <c r="E10" s="4" t="s">
        <v>741</v>
      </c>
      <c r="F10" s="4" t="s">
        <v>728</v>
      </c>
      <c r="G10" s="4" t="s">
        <v>719</v>
      </c>
      <c r="H10" s="4"/>
      <c r="I10" s="4"/>
    </row>
    <row r="11" spans="1:9">
      <c r="A11" s="4">
        <v>8010</v>
      </c>
      <c r="B11" s="4">
        <v>1003</v>
      </c>
      <c r="C11" s="4">
        <v>5046</v>
      </c>
      <c r="D11" s="4" t="s">
        <v>730</v>
      </c>
      <c r="E11" s="4" t="s">
        <v>742</v>
      </c>
      <c r="F11" s="4" t="s">
        <v>743</v>
      </c>
      <c r="G11" s="4" t="s">
        <v>719</v>
      </c>
      <c r="H11" s="4"/>
      <c r="I11" s="4"/>
    </row>
    <row r="12" spans="1:9">
      <c r="A12" s="4">
        <v>8011</v>
      </c>
      <c r="B12" s="4">
        <v>1021</v>
      </c>
      <c r="C12" s="4">
        <v>5030</v>
      </c>
      <c r="D12" s="4" t="s">
        <v>734</v>
      </c>
      <c r="E12" s="4" t="s">
        <v>744</v>
      </c>
      <c r="F12" s="4" t="s">
        <v>718</v>
      </c>
      <c r="G12" s="4" t="s">
        <v>732</v>
      </c>
      <c r="H12" s="4" t="s">
        <v>745</v>
      </c>
      <c r="I12" s="4" t="s">
        <v>723</v>
      </c>
    </row>
    <row r="13" spans="1:9">
      <c r="A13" s="4">
        <v>8012</v>
      </c>
      <c r="B13" s="4">
        <v>1045</v>
      </c>
      <c r="C13" s="4">
        <v>5026</v>
      </c>
      <c r="D13" s="4" t="s">
        <v>734</v>
      </c>
      <c r="E13" s="4" t="s">
        <v>746</v>
      </c>
      <c r="F13" s="4" t="s">
        <v>726</v>
      </c>
      <c r="G13" s="4" t="s">
        <v>747</v>
      </c>
      <c r="H13" s="4" t="s">
        <v>748</v>
      </c>
      <c r="I13" s="4" t="s">
        <v>723</v>
      </c>
    </row>
    <row r="14" spans="1:9">
      <c r="A14" s="4">
        <v>8013</v>
      </c>
      <c r="B14" s="4">
        <v>1026</v>
      </c>
      <c r="C14" s="4"/>
      <c r="D14" s="4" t="s">
        <v>724</v>
      </c>
      <c r="E14" s="4" t="s">
        <v>749</v>
      </c>
      <c r="F14" s="4" t="s">
        <v>743</v>
      </c>
      <c r="G14" s="4" t="s">
        <v>719</v>
      </c>
      <c r="H14" s="4"/>
      <c r="I14" s="4"/>
    </row>
    <row r="15" spans="1:9">
      <c r="A15" s="4">
        <v>8014</v>
      </c>
      <c r="B15" s="4">
        <v>1005</v>
      </c>
      <c r="C15" s="4">
        <v>5035</v>
      </c>
      <c r="D15" s="4" t="s">
        <v>750</v>
      </c>
      <c r="E15" s="4" t="s">
        <v>751</v>
      </c>
      <c r="F15" s="4" t="s">
        <v>728</v>
      </c>
      <c r="G15" s="4" t="s">
        <v>719</v>
      </c>
      <c r="H15" s="4"/>
      <c r="I15" s="4"/>
    </row>
    <row r="16" spans="1:9">
      <c r="A16" s="4">
        <v>8015</v>
      </c>
      <c r="B16" s="4">
        <v>1010</v>
      </c>
      <c r="C16" s="4">
        <v>5023</v>
      </c>
      <c r="D16" s="4" t="s">
        <v>734</v>
      </c>
      <c r="E16" s="4" t="s">
        <v>752</v>
      </c>
      <c r="F16" s="4" t="s">
        <v>743</v>
      </c>
      <c r="G16" s="4" t="s">
        <v>732</v>
      </c>
      <c r="H16" s="4" t="s">
        <v>753</v>
      </c>
      <c r="I16" s="4" t="s">
        <v>723</v>
      </c>
    </row>
    <row r="17" spans="1:9">
      <c r="A17" s="4">
        <v>8016</v>
      </c>
      <c r="B17" s="4">
        <v>1011</v>
      </c>
      <c r="C17" s="4"/>
      <c r="D17" s="4" t="s">
        <v>750</v>
      </c>
      <c r="E17" s="4" t="s">
        <v>754</v>
      </c>
      <c r="F17" s="4" t="s">
        <v>743</v>
      </c>
      <c r="G17" s="4" t="s">
        <v>729</v>
      </c>
      <c r="H17" s="4"/>
      <c r="I17" s="4"/>
    </row>
    <row r="18" spans="1:9">
      <c r="A18" s="4">
        <v>8017</v>
      </c>
      <c r="B18" s="4">
        <v>1033</v>
      </c>
      <c r="C18" s="4">
        <v>5079</v>
      </c>
      <c r="D18" s="4" t="s">
        <v>750</v>
      </c>
      <c r="E18" s="4" t="s">
        <v>755</v>
      </c>
      <c r="F18" s="4" t="s">
        <v>728</v>
      </c>
      <c r="G18" s="4" t="s">
        <v>729</v>
      </c>
      <c r="H18" s="4"/>
      <c r="I18" s="4"/>
    </row>
    <row r="19" spans="1:9">
      <c r="A19" s="4">
        <v>8018</v>
      </c>
      <c r="B19" s="4">
        <v>1002</v>
      </c>
      <c r="C19" s="4">
        <v>5072</v>
      </c>
      <c r="D19" s="4" t="s">
        <v>756</v>
      </c>
      <c r="E19" s="4" t="s">
        <v>757</v>
      </c>
      <c r="F19" s="4" t="s">
        <v>728</v>
      </c>
      <c r="G19" s="4" t="s">
        <v>719</v>
      </c>
      <c r="H19" s="4"/>
      <c r="I19" s="4"/>
    </row>
    <row r="20" spans="1:9">
      <c r="A20" s="4">
        <v>8019</v>
      </c>
      <c r="B20" s="4">
        <v>1033</v>
      </c>
      <c r="C20" s="4"/>
      <c r="D20" s="4" t="s">
        <v>730</v>
      </c>
      <c r="E20" s="4" t="s">
        <v>758</v>
      </c>
      <c r="F20" s="4" t="s">
        <v>726</v>
      </c>
      <c r="G20" s="4" t="s">
        <v>729</v>
      </c>
      <c r="H20" s="4"/>
      <c r="I20" s="4"/>
    </row>
    <row r="21" spans="1:9">
      <c r="A21" s="4">
        <v>8020</v>
      </c>
      <c r="B21" s="4">
        <v>1017</v>
      </c>
      <c r="C21" s="4">
        <v>5009</v>
      </c>
      <c r="D21" s="4" t="s">
        <v>734</v>
      </c>
      <c r="E21" s="4" t="s">
        <v>759</v>
      </c>
      <c r="F21" s="4" t="s">
        <v>728</v>
      </c>
      <c r="G21" s="4" t="s">
        <v>719</v>
      </c>
      <c r="H21" s="4"/>
      <c r="I21" s="4"/>
    </row>
    <row r="22" spans="1:9">
      <c r="A22" s="4">
        <v>8021</v>
      </c>
      <c r="B22" s="4">
        <v>1026</v>
      </c>
      <c r="C22" s="4"/>
      <c r="D22" s="4" t="s">
        <v>750</v>
      </c>
      <c r="E22" s="4" t="s">
        <v>760</v>
      </c>
      <c r="F22" s="4" t="s">
        <v>728</v>
      </c>
      <c r="G22" s="4" t="s">
        <v>721</v>
      </c>
      <c r="H22" s="4" t="s">
        <v>761</v>
      </c>
      <c r="I22" s="4" t="s">
        <v>723</v>
      </c>
    </row>
    <row r="23" spans="1:9">
      <c r="A23" s="4">
        <v>8022</v>
      </c>
      <c r="B23" s="4">
        <v>1006</v>
      </c>
      <c r="C23" s="4">
        <v>5056</v>
      </c>
      <c r="D23" s="4" t="s">
        <v>730</v>
      </c>
      <c r="E23" s="4" t="s">
        <v>762</v>
      </c>
      <c r="F23" s="4" t="s">
        <v>726</v>
      </c>
      <c r="G23" s="4" t="s">
        <v>729</v>
      </c>
      <c r="H23" s="4"/>
      <c r="I23" s="4"/>
    </row>
    <row r="24" spans="1:9">
      <c r="A24" s="4">
        <v>8023</v>
      </c>
      <c r="B24" s="4">
        <v>1052</v>
      </c>
      <c r="C24" s="4">
        <v>5090</v>
      </c>
      <c r="D24" s="4" t="s">
        <v>730</v>
      </c>
      <c r="E24" s="4" t="s">
        <v>763</v>
      </c>
      <c r="F24" s="4" t="s">
        <v>743</v>
      </c>
      <c r="G24" s="4" t="s">
        <v>729</v>
      </c>
      <c r="H24" s="4"/>
      <c r="I24" s="4"/>
    </row>
    <row r="25" spans="1:9">
      <c r="A25" s="4">
        <v>8024</v>
      </c>
      <c r="B25" s="4">
        <v>1001</v>
      </c>
      <c r="C25" s="4"/>
      <c r="D25" s="4" t="s">
        <v>716</v>
      </c>
      <c r="E25" s="4" t="s">
        <v>764</v>
      </c>
      <c r="F25" s="4" t="s">
        <v>718</v>
      </c>
      <c r="G25" s="4" t="s">
        <v>732</v>
      </c>
      <c r="H25" s="4" t="s">
        <v>765</v>
      </c>
      <c r="I25" s="4" t="s">
        <v>723</v>
      </c>
    </row>
    <row r="26" spans="1:9">
      <c r="A26" s="4">
        <v>8025</v>
      </c>
      <c r="B26" s="4">
        <v>1003</v>
      </c>
      <c r="C26" s="4">
        <v>5014</v>
      </c>
      <c r="D26" s="4" t="s">
        <v>724</v>
      </c>
      <c r="E26" s="4" t="s">
        <v>766</v>
      </c>
      <c r="F26" s="4" t="s">
        <v>718</v>
      </c>
      <c r="G26" s="4" t="s">
        <v>729</v>
      </c>
      <c r="H26" s="4"/>
      <c r="I26" s="4"/>
    </row>
    <row r="27" spans="1:9">
      <c r="A27" s="4">
        <v>8026</v>
      </c>
      <c r="B27" s="4">
        <v>1060</v>
      </c>
      <c r="C27" s="4">
        <v>5011</v>
      </c>
      <c r="D27" s="4" t="s">
        <v>734</v>
      </c>
      <c r="E27" s="4" t="s">
        <v>748</v>
      </c>
      <c r="F27" s="4" t="s">
        <v>718</v>
      </c>
      <c r="G27" s="4" t="s">
        <v>729</v>
      </c>
      <c r="H27" s="4"/>
      <c r="I27" s="4"/>
    </row>
    <row r="28" spans="1:9">
      <c r="A28" s="4">
        <v>8027</v>
      </c>
      <c r="B28" s="4">
        <v>1018</v>
      </c>
      <c r="C28" s="4">
        <v>5016</v>
      </c>
      <c r="D28" s="4" t="s">
        <v>750</v>
      </c>
      <c r="E28" s="4" t="s">
        <v>767</v>
      </c>
      <c r="F28" s="4" t="s">
        <v>718</v>
      </c>
      <c r="G28" s="4" t="s">
        <v>719</v>
      </c>
      <c r="H28" s="4"/>
      <c r="I28" s="4"/>
    </row>
    <row r="29" spans="1:9">
      <c r="A29" s="4">
        <v>8028</v>
      </c>
      <c r="B29" s="4">
        <v>1033</v>
      </c>
      <c r="C29" s="4">
        <v>5079</v>
      </c>
      <c r="D29" s="4" t="s">
        <v>750</v>
      </c>
      <c r="E29" s="4" t="s">
        <v>768</v>
      </c>
      <c r="F29" s="4" t="s">
        <v>743</v>
      </c>
      <c r="G29" s="4" t="s">
        <v>747</v>
      </c>
      <c r="H29" s="4" t="s">
        <v>769</v>
      </c>
      <c r="I29" s="4" t="s">
        <v>723</v>
      </c>
    </row>
    <row r="30" spans="1:9">
      <c r="A30" s="4">
        <v>8029</v>
      </c>
      <c r="B30" s="4">
        <v>1035</v>
      </c>
      <c r="C30" s="4">
        <v>5019</v>
      </c>
      <c r="D30" s="4" t="s">
        <v>756</v>
      </c>
      <c r="E30" s="4" t="s">
        <v>770</v>
      </c>
      <c r="F30" s="4" t="s">
        <v>718</v>
      </c>
      <c r="G30" s="4" t="s">
        <v>732</v>
      </c>
      <c r="H30" s="4" t="s">
        <v>736</v>
      </c>
      <c r="I30" s="4" t="s">
        <v>723</v>
      </c>
    </row>
    <row r="31" spans="1:9">
      <c r="A31" s="4">
        <v>8030</v>
      </c>
      <c r="B31" s="4">
        <v>1054</v>
      </c>
      <c r="C31" s="4"/>
      <c r="D31" s="4" t="s">
        <v>756</v>
      </c>
      <c r="E31" s="4" t="s">
        <v>771</v>
      </c>
      <c r="F31" s="4" t="s">
        <v>726</v>
      </c>
      <c r="G31" s="4" t="s">
        <v>719</v>
      </c>
      <c r="H31" s="4"/>
      <c r="I31" s="4"/>
    </row>
    <row r="32" spans="1:9">
      <c r="A32" s="4">
        <v>8031</v>
      </c>
      <c r="B32" s="4">
        <v>1054</v>
      </c>
      <c r="C32" s="4">
        <v>5037</v>
      </c>
      <c r="D32" s="4" t="s">
        <v>724</v>
      </c>
      <c r="E32" s="4" t="s">
        <v>772</v>
      </c>
      <c r="F32" s="4" t="s">
        <v>726</v>
      </c>
      <c r="G32" s="4" t="s">
        <v>747</v>
      </c>
      <c r="H32" s="4" t="s">
        <v>773</v>
      </c>
      <c r="I32" s="4" t="s">
        <v>723</v>
      </c>
    </row>
    <row r="33" spans="1:9">
      <c r="A33" s="4">
        <v>8032</v>
      </c>
      <c r="B33" s="4">
        <v>1006</v>
      </c>
      <c r="C33" s="4">
        <v>5056</v>
      </c>
      <c r="D33" s="4" t="s">
        <v>750</v>
      </c>
      <c r="E33" s="4" t="s">
        <v>774</v>
      </c>
      <c r="F33" s="4" t="s">
        <v>728</v>
      </c>
      <c r="G33" s="4" t="s">
        <v>721</v>
      </c>
      <c r="H33" s="4" t="s">
        <v>775</v>
      </c>
      <c r="I33" s="4" t="s">
        <v>723</v>
      </c>
    </row>
    <row r="34" spans="1:9">
      <c r="A34" s="4">
        <v>8033</v>
      </c>
      <c r="B34" s="4">
        <v>1003</v>
      </c>
      <c r="C34" s="4">
        <v>5014</v>
      </c>
      <c r="D34" s="4" t="s">
        <v>756</v>
      </c>
      <c r="E34" s="4" t="s">
        <v>776</v>
      </c>
      <c r="F34" s="4" t="s">
        <v>728</v>
      </c>
      <c r="G34" s="4" t="s">
        <v>719</v>
      </c>
      <c r="H34" s="4"/>
      <c r="I34" s="4"/>
    </row>
    <row r="35" spans="1:9">
      <c r="A35" s="4">
        <v>8034</v>
      </c>
      <c r="B35" s="4">
        <v>1036</v>
      </c>
      <c r="C35" s="4">
        <v>5018</v>
      </c>
      <c r="D35" s="4" t="s">
        <v>730</v>
      </c>
      <c r="E35" s="4" t="s">
        <v>727</v>
      </c>
      <c r="F35" s="4" t="s">
        <v>728</v>
      </c>
      <c r="G35" s="4" t="s">
        <v>729</v>
      </c>
      <c r="H35" s="4"/>
      <c r="I35" s="4"/>
    </row>
    <row r="36" spans="1:9">
      <c r="A36" s="4">
        <v>8035</v>
      </c>
      <c r="B36" s="4">
        <v>1025</v>
      </c>
      <c r="C36" s="4">
        <v>5071</v>
      </c>
      <c r="D36" s="4" t="s">
        <v>716</v>
      </c>
      <c r="E36" s="4" t="s">
        <v>777</v>
      </c>
      <c r="F36" s="4" t="s">
        <v>726</v>
      </c>
      <c r="G36" s="4" t="s">
        <v>729</v>
      </c>
      <c r="H36" s="4"/>
      <c r="I36" s="4"/>
    </row>
    <row r="37" spans="1:9">
      <c r="A37" s="4">
        <v>8036</v>
      </c>
      <c r="B37" s="4">
        <v>1006</v>
      </c>
      <c r="C37" s="4">
        <v>5056</v>
      </c>
      <c r="D37" s="4" t="s">
        <v>730</v>
      </c>
      <c r="E37" s="4" t="s">
        <v>778</v>
      </c>
      <c r="F37" s="4" t="s">
        <v>728</v>
      </c>
      <c r="G37" s="4" t="s">
        <v>732</v>
      </c>
      <c r="H37" s="4" t="s">
        <v>779</v>
      </c>
      <c r="I37" s="4" t="s">
        <v>723</v>
      </c>
    </row>
    <row r="38" spans="1:9">
      <c r="A38" s="4">
        <v>8037</v>
      </c>
      <c r="B38" s="4">
        <v>1020</v>
      </c>
      <c r="C38" s="4"/>
      <c r="D38" s="4" t="s">
        <v>716</v>
      </c>
      <c r="E38" s="4" t="s">
        <v>780</v>
      </c>
      <c r="F38" s="4" t="s">
        <v>718</v>
      </c>
      <c r="G38" s="4" t="s">
        <v>719</v>
      </c>
      <c r="H38" s="4"/>
      <c r="I38" s="4"/>
    </row>
    <row r="39" spans="1:9">
      <c r="A39" s="4">
        <v>8038</v>
      </c>
      <c r="B39" s="4">
        <v>1043</v>
      </c>
      <c r="C39" s="4"/>
      <c r="D39" s="4" t="s">
        <v>724</v>
      </c>
      <c r="E39" s="4" t="s">
        <v>781</v>
      </c>
      <c r="F39" s="4" t="s">
        <v>728</v>
      </c>
      <c r="G39" s="4" t="s">
        <v>732</v>
      </c>
      <c r="H39" s="4" t="s">
        <v>782</v>
      </c>
      <c r="I39" s="4" t="s">
        <v>723</v>
      </c>
    </row>
    <row r="40" spans="1:9">
      <c r="A40" s="4">
        <v>8039</v>
      </c>
      <c r="B40" s="4">
        <v>1047</v>
      </c>
      <c r="C40" s="4">
        <v>5039</v>
      </c>
      <c r="D40" s="4" t="s">
        <v>750</v>
      </c>
      <c r="E40" s="4" t="s">
        <v>783</v>
      </c>
      <c r="F40" s="4" t="s">
        <v>743</v>
      </c>
      <c r="G40" s="4" t="s">
        <v>747</v>
      </c>
      <c r="H40" s="4" t="s">
        <v>784</v>
      </c>
      <c r="I40" s="4" t="s">
        <v>723</v>
      </c>
    </row>
    <row r="41" spans="1:9">
      <c r="A41" s="4">
        <v>8040</v>
      </c>
      <c r="B41" s="4">
        <v>1047</v>
      </c>
      <c r="C41" s="4">
        <v>5039</v>
      </c>
      <c r="D41" s="4" t="s">
        <v>750</v>
      </c>
      <c r="E41" s="4" t="s">
        <v>748</v>
      </c>
      <c r="F41" s="4" t="s">
        <v>718</v>
      </c>
      <c r="G41" s="4" t="s">
        <v>732</v>
      </c>
      <c r="H41" s="4" t="s">
        <v>785</v>
      </c>
      <c r="I41" s="4" t="s">
        <v>723</v>
      </c>
    </row>
    <row r="42" spans="1:9">
      <c r="A42" s="4">
        <v>8041</v>
      </c>
      <c r="B42" s="4">
        <v>1006</v>
      </c>
      <c r="C42" s="4">
        <v>5056</v>
      </c>
      <c r="D42" s="4" t="s">
        <v>734</v>
      </c>
      <c r="E42" s="4" t="s">
        <v>717</v>
      </c>
      <c r="F42" s="4" t="s">
        <v>726</v>
      </c>
      <c r="G42" s="4" t="s">
        <v>721</v>
      </c>
      <c r="H42" s="4" t="s">
        <v>786</v>
      </c>
      <c r="I42" s="4" t="s">
        <v>723</v>
      </c>
    </row>
    <row r="43" spans="1:9">
      <c r="A43" s="4">
        <v>8042</v>
      </c>
      <c r="B43" s="4">
        <v>1041</v>
      </c>
      <c r="C43" s="4">
        <v>5075</v>
      </c>
      <c r="D43" s="4" t="s">
        <v>730</v>
      </c>
      <c r="E43" s="4" t="s">
        <v>787</v>
      </c>
      <c r="F43" s="4" t="s">
        <v>726</v>
      </c>
      <c r="G43" s="4" t="s">
        <v>719</v>
      </c>
      <c r="H43" s="4"/>
      <c r="I43" s="4"/>
    </row>
    <row r="44" spans="1:9">
      <c r="A44" s="4">
        <v>8043</v>
      </c>
      <c r="B44" s="4">
        <v>1043</v>
      </c>
      <c r="C44" s="4">
        <v>5087</v>
      </c>
      <c r="D44" s="4" t="s">
        <v>730</v>
      </c>
      <c r="E44" s="4" t="s">
        <v>786</v>
      </c>
      <c r="F44" s="4" t="s">
        <v>728</v>
      </c>
      <c r="G44" s="4" t="s">
        <v>729</v>
      </c>
      <c r="H44" s="4"/>
      <c r="I44" s="4"/>
    </row>
    <row r="45" spans="1:9">
      <c r="A45" s="4">
        <v>8044</v>
      </c>
      <c r="B45" s="4">
        <v>1016</v>
      </c>
      <c r="C45" s="4">
        <v>5076</v>
      </c>
      <c r="D45" s="4" t="s">
        <v>734</v>
      </c>
      <c r="E45" s="4" t="s">
        <v>738</v>
      </c>
      <c r="F45" s="4" t="s">
        <v>743</v>
      </c>
      <c r="G45" s="4" t="s">
        <v>732</v>
      </c>
      <c r="H45" s="4" t="s">
        <v>788</v>
      </c>
      <c r="I45" s="4" t="s">
        <v>723</v>
      </c>
    </row>
    <row r="46" spans="1:9">
      <c r="A46" s="4">
        <v>8045</v>
      </c>
      <c r="B46" s="4">
        <v>1005</v>
      </c>
      <c r="C46" s="4">
        <v>5035</v>
      </c>
      <c r="D46" s="4" t="s">
        <v>730</v>
      </c>
      <c r="E46" s="4" t="s">
        <v>789</v>
      </c>
      <c r="F46" s="4" t="s">
        <v>718</v>
      </c>
      <c r="G46" s="4" t="s">
        <v>732</v>
      </c>
      <c r="H46" s="4" t="s">
        <v>722</v>
      </c>
      <c r="I46" s="4" t="s">
        <v>723</v>
      </c>
    </row>
    <row r="47" spans="1:9">
      <c r="A47" s="4">
        <v>8046</v>
      </c>
      <c r="B47" s="4">
        <v>1022</v>
      </c>
      <c r="C47" s="4">
        <v>5088</v>
      </c>
      <c r="D47" s="4" t="s">
        <v>734</v>
      </c>
      <c r="E47" s="4" t="s">
        <v>790</v>
      </c>
      <c r="F47" s="4" t="s">
        <v>726</v>
      </c>
      <c r="G47" s="4" t="s">
        <v>719</v>
      </c>
      <c r="H47" s="4"/>
      <c r="I47" s="4"/>
    </row>
    <row r="48" spans="1:9">
      <c r="A48" s="4">
        <v>8047</v>
      </c>
      <c r="B48" s="4">
        <v>1032</v>
      </c>
      <c r="C48" s="4"/>
      <c r="D48" s="4" t="s">
        <v>724</v>
      </c>
      <c r="E48" s="4" t="s">
        <v>791</v>
      </c>
      <c r="F48" s="4" t="s">
        <v>743</v>
      </c>
      <c r="G48" s="4" t="s">
        <v>719</v>
      </c>
      <c r="H48" s="4"/>
      <c r="I48" s="4"/>
    </row>
    <row r="49" spans="1:9">
      <c r="A49" s="4">
        <v>8048</v>
      </c>
      <c r="B49" s="4">
        <v>1019</v>
      </c>
      <c r="C49" s="4">
        <v>5062</v>
      </c>
      <c r="D49" s="4" t="s">
        <v>716</v>
      </c>
      <c r="E49" s="4" t="s">
        <v>792</v>
      </c>
      <c r="F49" s="4" t="s">
        <v>718</v>
      </c>
      <c r="G49" s="4" t="s">
        <v>732</v>
      </c>
      <c r="H49" s="4" t="s">
        <v>793</v>
      </c>
      <c r="I49" s="4" t="s">
        <v>723</v>
      </c>
    </row>
    <row r="50" spans="1:9">
      <c r="A50" s="4">
        <v>8049</v>
      </c>
      <c r="B50" s="4">
        <v>1020</v>
      </c>
      <c r="C50" s="4"/>
      <c r="D50" s="4" t="s">
        <v>734</v>
      </c>
      <c r="E50" s="4" t="s">
        <v>794</v>
      </c>
      <c r="F50" s="4" t="s">
        <v>726</v>
      </c>
      <c r="G50" s="4" t="s">
        <v>719</v>
      </c>
      <c r="H50" s="4"/>
      <c r="I50" s="4"/>
    </row>
    <row r="51" spans="1:9">
      <c r="A51" s="4">
        <v>8050</v>
      </c>
      <c r="B51" s="4">
        <v>1053</v>
      </c>
      <c r="C51" s="4"/>
      <c r="D51" s="4" t="s">
        <v>724</v>
      </c>
      <c r="E51" s="4" t="s">
        <v>795</v>
      </c>
      <c r="F51" s="4" t="s">
        <v>718</v>
      </c>
      <c r="G51" s="4" t="s">
        <v>721</v>
      </c>
      <c r="H51" s="4" t="s">
        <v>790</v>
      </c>
      <c r="I51" s="4" t="s">
        <v>723</v>
      </c>
    </row>
    <row r="52" spans="1:9">
      <c r="A52" s="4">
        <v>8051</v>
      </c>
      <c r="B52" s="4">
        <v>1005</v>
      </c>
      <c r="C52" s="4">
        <v>5006</v>
      </c>
      <c r="D52" s="4" t="s">
        <v>756</v>
      </c>
      <c r="E52" s="4" t="s">
        <v>796</v>
      </c>
      <c r="F52" s="4" t="s">
        <v>718</v>
      </c>
      <c r="G52" s="4" t="s">
        <v>729</v>
      </c>
      <c r="H52" s="4"/>
      <c r="I52" s="4"/>
    </row>
    <row r="53" spans="1:9">
      <c r="A53" s="4">
        <v>8052</v>
      </c>
      <c r="B53" s="4">
        <v>1039</v>
      </c>
      <c r="C53" s="4">
        <v>5085</v>
      </c>
      <c r="D53" s="4" t="s">
        <v>734</v>
      </c>
      <c r="E53" s="4" t="s">
        <v>797</v>
      </c>
      <c r="F53" s="4" t="s">
        <v>743</v>
      </c>
      <c r="G53" s="4" t="s">
        <v>732</v>
      </c>
      <c r="H53" s="4" t="s">
        <v>798</v>
      </c>
      <c r="I53" s="4" t="s">
        <v>723</v>
      </c>
    </row>
    <row r="54" spans="1:9">
      <c r="A54" s="4">
        <v>8053</v>
      </c>
      <c r="B54" s="4">
        <v>1026</v>
      </c>
      <c r="C54" s="4"/>
      <c r="D54" s="4" t="s">
        <v>734</v>
      </c>
      <c r="E54" s="4" t="s">
        <v>799</v>
      </c>
      <c r="F54" s="4" t="s">
        <v>743</v>
      </c>
      <c r="G54" s="4" t="s">
        <v>719</v>
      </c>
      <c r="H54" s="4"/>
      <c r="I54" s="4"/>
    </row>
    <row r="55" spans="1:9">
      <c r="A55" s="4">
        <v>8054</v>
      </c>
      <c r="B55" s="4">
        <v>1026</v>
      </c>
      <c r="C55" s="4"/>
      <c r="D55" s="4" t="s">
        <v>756</v>
      </c>
      <c r="E55" s="4" t="s">
        <v>800</v>
      </c>
      <c r="F55" s="4" t="s">
        <v>743</v>
      </c>
      <c r="G55" s="4" t="s">
        <v>719</v>
      </c>
      <c r="H55" s="4"/>
      <c r="I55" s="4"/>
    </row>
    <row r="56" spans="1:9">
      <c r="A56" s="4">
        <v>8055</v>
      </c>
      <c r="B56" s="4">
        <v>1021</v>
      </c>
      <c r="C56" s="4">
        <v>5030</v>
      </c>
      <c r="D56" s="4" t="s">
        <v>730</v>
      </c>
      <c r="E56" s="4" t="s">
        <v>801</v>
      </c>
      <c r="F56" s="4" t="s">
        <v>718</v>
      </c>
      <c r="G56" s="4" t="s">
        <v>732</v>
      </c>
      <c r="H56" s="4" t="s">
        <v>802</v>
      </c>
      <c r="I56" s="4" t="s">
        <v>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62FD-A1F8-4151-85CD-ADBD2AA8FBB8}">
  <dimension ref="A1:E71"/>
  <sheetViews>
    <sheetView topLeftCell="A24" workbookViewId="0">
      <selection activeCell="C55" sqref="C55"/>
    </sheetView>
  </sheetViews>
  <sheetFormatPr defaultRowHeight="14.4"/>
  <sheetData>
    <row r="1" spans="1:5">
      <c r="A1" s="6" t="s">
        <v>803</v>
      </c>
      <c r="B1" s="6" t="s">
        <v>6</v>
      </c>
      <c r="C1" s="6" t="s">
        <v>47</v>
      </c>
      <c r="D1" s="6" t="s">
        <v>804</v>
      </c>
      <c r="E1" s="6" t="s">
        <v>805</v>
      </c>
    </row>
    <row r="2" spans="1:5">
      <c r="A2" s="4">
        <v>90002</v>
      </c>
      <c r="B2" s="4">
        <v>1021</v>
      </c>
      <c r="C2" s="4">
        <v>20240120</v>
      </c>
      <c r="D2" s="4" t="s">
        <v>806</v>
      </c>
      <c r="E2" s="4" t="s">
        <v>807</v>
      </c>
    </row>
    <row r="3" spans="1:5">
      <c r="A3" s="4">
        <v>90003</v>
      </c>
      <c r="B3" s="4">
        <v>1005</v>
      </c>
      <c r="C3" s="4">
        <v>20240309</v>
      </c>
      <c r="D3" s="4" t="s">
        <v>808</v>
      </c>
      <c r="E3" s="4" t="s">
        <v>809</v>
      </c>
    </row>
    <row r="4" spans="1:5">
      <c r="A4" s="4">
        <v>90004</v>
      </c>
      <c r="B4" s="4">
        <v>1004</v>
      </c>
      <c r="C4" s="4">
        <v>20240305</v>
      </c>
      <c r="D4" s="4" t="s">
        <v>728</v>
      </c>
      <c r="E4" s="4" t="s">
        <v>809</v>
      </c>
    </row>
    <row r="5" spans="1:5">
      <c r="A5" s="4">
        <v>90005</v>
      </c>
      <c r="B5" s="4">
        <v>1028</v>
      </c>
      <c r="C5" s="4">
        <v>20240223</v>
      </c>
      <c r="D5" s="4" t="s">
        <v>808</v>
      </c>
      <c r="E5" s="4" t="s">
        <v>809</v>
      </c>
    </row>
    <row r="6" spans="1:5">
      <c r="A6" s="4">
        <v>90006</v>
      </c>
      <c r="B6" s="4">
        <v>1036</v>
      </c>
      <c r="C6" s="4">
        <v>20240224</v>
      </c>
      <c r="D6" s="4" t="s">
        <v>808</v>
      </c>
      <c r="E6" s="4" t="s">
        <v>810</v>
      </c>
    </row>
    <row r="7" spans="1:5">
      <c r="A7" s="4">
        <v>90007</v>
      </c>
      <c r="B7" s="4">
        <v>1008</v>
      </c>
      <c r="C7" s="4">
        <v>20240129</v>
      </c>
      <c r="D7" s="4" t="s">
        <v>808</v>
      </c>
      <c r="E7" s="4" t="s">
        <v>811</v>
      </c>
    </row>
    <row r="8" spans="1:5">
      <c r="A8" s="4">
        <v>90008</v>
      </c>
      <c r="B8" s="4">
        <v>1026</v>
      </c>
      <c r="C8" s="4">
        <v>20240107</v>
      </c>
      <c r="D8" s="4" t="s">
        <v>728</v>
      </c>
      <c r="E8" s="4" t="s">
        <v>809</v>
      </c>
    </row>
    <row r="9" spans="1:5">
      <c r="A9" s="4">
        <v>90009</v>
      </c>
      <c r="B9" s="4">
        <v>1055</v>
      </c>
      <c r="C9" s="4">
        <v>20240118</v>
      </c>
      <c r="D9" s="4" t="s">
        <v>718</v>
      </c>
      <c r="E9" s="4" t="s">
        <v>811</v>
      </c>
    </row>
    <row r="10" spans="1:5">
      <c r="A10" s="4">
        <v>90010</v>
      </c>
      <c r="B10" s="4">
        <v>1035</v>
      </c>
      <c r="C10" s="4">
        <v>20240116</v>
      </c>
      <c r="D10" s="4" t="s">
        <v>718</v>
      </c>
      <c r="E10" s="4" t="s">
        <v>811</v>
      </c>
    </row>
    <row r="11" spans="1:5">
      <c r="A11" s="4">
        <v>90011</v>
      </c>
      <c r="B11" s="4">
        <v>1044</v>
      </c>
      <c r="C11" s="4">
        <v>20240124</v>
      </c>
      <c r="D11" s="4" t="s">
        <v>808</v>
      </c>
      <c r="E11" s="4" t="s">
        <v>811</v>
      </c>
    </row>
    <row r="12" spans="1:5">
      <c r="A12" s="4">
        <v>90012</v>
      </c>
      <c r="B12" s="4">
        <v>1041</v>
      </c>
      <c r="C12" s="4">
        <v>20240125</v>
      </c>
      <c r="D12" s="4" t="s">
        <v>718</v>
      </c>
      <c r="E12" s="4" t="s">
        <v>809</v>
      </c>
    </row>
    <row r="13" spans="1:5">
      <c r="A13" s="4">
        <v>90013</v>
      </c>
      <c r="B13" s="4">
        <v>1046</v>
      </c>
      <c r="C13" s="4">
        <v>20240109</v>
      </c>
      <c r="D13" s="4" t="s">
        <v>808</v>
      </c>
      <c r="E13" s="4" t="s">
        <v>807</v>
      </c>
    </row>
    <row r="14" spans="1:5">
      <c r="A14" s="4">
        <v>90014</v>
      </c>
      <c r="B14" s="4">
        <v>1032</v>
      </c>
      <c r="C14" s="4">
        <v>20240328</v>
      </c>
      <c r="D14" s="4" t="s">
        <v>806</v>
      </c>
      <c r="E14" s="4" t="s">
        <v>810</v>
      </c>
    </row>
    <row r="15" spans="1:5">
      <c r="A15" s="4">
        <v>90015</v>
      </c>
      <c r="B15" s="4">
        <v>1030</v>
      </c>
      <c r="C15" s="4">
        <v>20240315</v>
      </c>
      <c r="D15" s="4" t="s">
        <v>806</v>
      </c>
      <c r="E15" s="4" t="s">
        <v>809</v>
      </c>
    </row>
    <row r="16" spans="1:5">
      <c r="A16" s="4">
        <v>90016</v>
      </c>
      <c r="B16" s="4">
        <v>1016</v>
      </c>
      <c r="C16" s="4">
        <v>20240124</v>
      </c>
      <c r="D16" s="4" t="s">
        <v>728</v>
      </c>
      <c r="E16" s="4" t="s">
        <v>809</v>
      </c>
    </row>
    <row r="17" spans="1:5">
      <c r="A17" s="4">
        <v>90017</v>
      </c>
      <c r="B17" s="4">
        <v>1020</v>
      </c>
      <c r="C17" s="4">
        <v>20240308</v>
      </c>
      <c r="D17" s="4" t="s">
        <v>806</v>
      </c>
      <c r="E17" s="4" t="s">
        <v>812</v>
      </c>
    </row>
    <row r="18" spans="1:5">
      <c r="A18" s="4">
        <v>90018</v>
      </c>
      <c r="B18" s="4">
        <v>1047</v>
      </c>
      <c r="C18" s="4">
        <v>20240227</v>
      </c>
      <c r="D18" s="4" t="s">
        <v>718</v>
      </c>
      <c r="E18" s="4" t="s">
        <v>811</v>
      </c>
    </row>
    <row r="19" spans="1:5">
      <c r="A19" s="4">
        <v>90019</v>
      </c>
      <c r="B19" s="4">
        <v>1005</v>
      </c>
      <c r="C19" s="4">
        <v>20240116</v>
      </c>
      <c r="D19" s="4" t="s">
        <v>806</v>
      </c>
      <c r="E19" s="4" t="s">
        <v>809</v>
      </c>
    </row>
    <row r="20" spans="1:5">
      <c r="A20" s="4">
        <v>90020</v>
      </c>
      <c r="B20" s="4">
        <v>1022</v>
      </c>
      <c r="C20" s="4">
        <v>20240120</v>
      </c>
      <c r="D20" s="4" t="s">
        <v>806</v>
      </c>
      <c r="E20" s="4" t="s">
        <v>811</v>
      </c>
    </row>
    <row r="21" spans="1:5">
      <c r="A21" s="4">
        <v>90021</v>
      </c>
      <c r="B21" s="4">
        <v>1043</v>
      </c>
      <c r="C21" s="4">
        <v>20240110</v>
      </c>
      <c r="D21" s="4" t="s">
        <v>718</v>
      </c>
      <c r="E21" s="4" t="s">
        <v>809</v>
      </c>
    </row>
    <row r="22" spans="1:5">
      <c r="A22" s="4">
        <v>90022</v>
      </c>
      <c r="B22" s="4">
        <v>1023</v>
      </c>
      <c r="C22" s="4">
        <v>20240317</v>
      </c>
      <c r="D22" s="4" t="s">
        <v>806</v>
      </c>
      <c r="E22" s="4" t="s">
        <v>811</v>
      </c>
    </row>
    <row r="23" spans="1:5">
      <c r="A23" s="4">
        <v>90023</v>
      </c>
      <c r="B23" s="4">
        <v>1030</v>
      </c>
      <c r="C23" s="4">
        <v>20240109</v>
      </c>
      <c r="D23" s="4" t="s">
        <v>808</v>
      </c>
      <c r="E23" s="4" t="s">
        <v>812</v>
      </c>
    </row>
    <row r="24" spans="1:5">
      <c r="A24" s="4">
        <v>90024</v>
      </c>
      <c r="B24" s="4">
        <v>1031</v>
      </c>
      <c r="C24" s="4">
        <v>20240330</v>
      </c>
      <c r="D24" s="4" t="s">
        <v>808</v>
      </c>
      <c r="E24" s="4" t="s">
        <v>809</v>
      </c>
    </row>
    <row r="25" spans="1:5">
      <c r="A25" s="4">
        <v>90025</v>
      </c>
      <c r="B25" s="4">
        <v>1045</v>
      </c>
      <c r="C25" s="4">
        <v>20240209</v>
      </c>
      <c r="D25" s="4" t="s">
        <v>806</v>
      </c>
      <c r="E25" s="4" t="s">
        <v>809</v>
      </c>
    </row>
    <row r="26" spans="1:5">
      <c r="A26" s="4">
        <v>90026</v>
      </c>
      <c r="B26" s="4">
        <v>1025</v>
      </c>
      <c r="C26" s="4">
        <v>20240326</v>
      </c>
      <c r="D26" s="4" t="s">
        <v>718</v>
      </c>
      <c r="E26" s="4" t="s">
        <v>809</v>
      </c>
    </row>
    <row r="27" spans="1:5">
      <c r="A27" s="4">
        <v>90027</v>
      </c>
      <c r="B27" s="4">
        <v>1030</v>
      </c>
      <c r="C27" s="4">
        <v>20240215</v>
      </c>
      <c r="D27" s="4" t="s">
        <v>728</v>
      </c>
      <c r="E27" s="4" t="s">
        <v>811</v>
      </c>
    </row>
    <row r="28" spans="1:5">
      <c r="A28" s="4">
        <v>90028</v>
      </c>
      <c r="B28" s="4">
        <v>1032</v>
      </c>
      <c r="C28" s="4">
        <v>20240108</v>
      </c>
      <c r="D28" s="4" t="s">
        <v>728</v>
      </c>
      <c r="E28" s="4" t="s">
        <v>807</v>
      </c>
    </row>
    <row r="29" spans="1:5">
      <c r="A29" s="4">
        <v>90029</v>
      </c>
      <c r="B29" s="4">
        <v>1009</v>
      </c>
      <c r="C29" s="4">
        <v>20240404</v>
      </c>
      <c r="D29" s="4" t="s">
        <v>728</v>
      </c>
      <c r="E29" s="4" t="s">
        <v>811</v>
      </c>
    </row>
    <row r="30" spans="1:5">
      <c r="A30" s="4">
        <v>90030</v>
      </c>
      <c r="B30" s="4">
        <v>1059</v>
      </c>
      <c r="C30" s="4">
        <v>20240304</v>
      </c>
      <c r="D30" s="4" t="s">
        <v>808</v>
      </c>
      <c r="E30" s="4" t="s">
        <v>809</v>
      </c>
    </row>
    <row r="31" spans="1:5">
      <c r="A31" s="4">
        <v>90031</v>
      </c>
      <c r="B31" s="4">
        <v>1026</v>
      </c>
      <c r="C31" s="4">
        <v>20240311</v>
      </c>
      <c r="D31" s="4" t="s">
        <v>718</v>
      </c>
      <c r="E31" s="4" t="s">
        <v>812</v>
      </c>
    </row>
    <row r="32" spans="1:5">
      <c r="A32" s="4">
        <v>90032</v>
      </c>
      <c r="B32" s="4">
        <v>1053</v>
      </c>
      <c r="C32" s="4">
        <v>20240225</v>
      </c>
      <c r="D32" s="4" t="s">
        <v>718</v>
      </c>
      <c r="E32" s="4" t="s">
        <v>807</v>
      </c>
    </row>
    <row r="33" spans="1:5">
      <c r="A33" s="4">
        <v>90033</v>
      </c>
      <c r="B33" s="4">
        <v>1023</v>
      </c>
      <c r="C33" s="4">
        <v>20240328</v>
      </c>
      <c r="D33" s="4" t="s">
        <v>806</v>
      </c>
      <c r="E33" s="4" t="s">
        <v>812</v>
      </c>
    </row>
    <row r="34" spans="1:5">
      <c r="A34" s="4">
        <v>90034</v>
      </c>
      <c r="B34" s="4">
        <v>1010</v>
      </c>
      <c r="C34" s="4">
        <v>20240111</v>
      </c>
      <c r="D34" s="4" t="s">
        <v>728</v>
      </c>
      <c r="E34" s="4" t="s">
        <v>809</v>
      </c>
    </row>
    <row r="35" spans="1:5">
      <c r="A35" s="4">
        <v>90035</v>
      </c>
      <c r="B35" s="4">
        <v>1043</v>
      </c>
      <c r="C35" s="4">
        <v>20240130</v>
      </c>
      <c r="D35" s="4" t="s">
        <v>808</v>
      </c>
      <c r="E35" s="4" t="s">
        <v>811</v>
      </c>
    </row>
    <row r="36" spans="1:5">
      <c r="A36" s="4">
        <v>90036</v>
      </c>
      <c r="B36" s="4">
        <v>1038</v>
      </c>
      <c r="C36" s="4">
        <v>20240124</v>
      </c>
      <c r="D36" s="4" t="s">
        <v>718</v>
      </c>
      <c r="E36" s="4" t="s">
        <v>809</v>
      </c>
    </row>
    <row r="37" spans="1:5">
      <c r="A37" s="4">
        <v>90037</v>
      </c>
      <c r="B37" s="4">
        <v>1010</v>
      </c>
      <c r="C37" s="4">
        <v>20240223</v>
      </c>
      <c r="D37" s="4" t="s">
        <v>718</v>
      </c>
      <c r="E37" s="4" t="s">
        <v>811</v>
      </c>
    </row>
    <row r="38" spans="1:5">
      <c r="A38" s="4">
        <v>90038</v>
      </c>
      <c r="B38" s="4">
        <v>1021</v>
      </c>
      <c r="C38" s="4">
        <v>20240117</v>
      </c>
      <c r="D38" s="4" t="s">
        <v>808</v>
      </c>
      <c r="E38" s="4" t="s">
        <v>811</v>
      </c>
    </row>
    <row r="39" spans="1:5">
      <c r="A39" s="4">
        <v>90039</v>
      </c>
      <c r="B39" s="4">
        <v>1056</v>
      </c>
      <c r="C39" s="4">
        <v>20240409</v>
      </c>
      <c r="D39" s="4" t="s">
        <v>806</v>
      </c>
      <c r="E39" s="4" t="s">
        <v>811</v>
      </c>
    </row>
    <row r="40" spans="1:5">
      <c r="A40" s="4">
        <v>90040</v>
      </c>
      <c r="B40" s="4">
        <v>1026</v>
      </c>
      <c r="C40" s="4">
        <v>20240114</v>
      </c>
      <c r="D40" s="4" t="s">
        <v>806</v>
      </c>
      <c r="E40" s="4" t="s">
        <v>807</v>
      </c>
    </row>
    <row r="41" spans="1:5">
      <c r="A41" s="4">
        <v>90041</v>
      </c>
      <c r="B41" s="4">
        <v>1004</v>
      </c>
      <c r="C41" s="4">
        <v>20240125</v>
      </c>
      <c r="D41" s="4" t="s">
        <v>808</v>
      </c>
      <c r="E41" s="4" t="s">
        <v>812</v>
      </c>
    </row>
    <row r="42" spans="1:5">
      <c r="A42" s="4">
        <v>90042</v>
      </c>
      <c r="B42" s="4">
        <v>1029</v>
      </c>
      <c r="C42" s="4">
        <v>20240121</v>
      </c>
      <c r="D42" s="4" t="s">
        <v>808</v>
      </c>
      <c r="E42" s="4" t="s">
        <v>809</v>
      </c>
    </row>
    <row r="43" spans="1:5">
      <c r="A43" s="4">
        <v>90043</v>
      </c>
      <c r="B43" s="4">
        <v>1004</v>
      </c>
      <c r="C43" s="4">
        <v>20240114</v>
      </c>
      <c r="D43" s="4" t="s">
        <v>808</v>
      </c>
      <c r="E43" s="4" t="s">
        <v>811</v>
      </c>
    </row>
    <row r="44" spans="1:5">
      <c r="A44" s="4">
        <v>90044</v>
      </c>
      <c r="B44" s="4">
        <v>1035</v>
      </c>
      <c r="C44" s="4">
        <v>20240113</v>
      </c>
      <c r="D44" s="4" t="s">
        <v>718</v>
      </c>
      <c r="E44" s="4" t="s">
        <v>811</v>
      </c>
    </row>
    <row r="45" spans="1:5">
      <c r="A45" s="4">
        <v>90045</v>
      </c>
      <c r="B45" s="4">
        <v>1005</v>
      </c>
      <c r="C45" s="4">
        <v>20240127</v>
      </c>
      <c r="D45" s="4" t="s">
        <v>806</v>
      </c>
      <c r="E45" s="4" t="s">
        <v>809</v>
      </c>
    </row>
    <row r="46" spans="1:5">
      <c r="A46" s="4">
        <v>90046</v>
      </c>
      <c r="B46" s="4">
        <v>1017</v>
      </c>
      <c r="C46" s="4">
        <v>20240214</v>
      </c>
      <c r="D46" s="4" t="s">
        <v>718</v>
      </c>
      <c r="E46" s="4" t="s">
        <v>811</v>
      </c>
    </row>
    <row r="47" spans="1:5">
      <c r="A47" s="4">
        <v>90047</v>
      </c>
      <c r="B47" s="4">
        <v>1008</v>
      </c>
      <c r="C47" s="4">
        <v>20240303</v>
      </c>
      <c r="D47" s="4" t="s">
        <v>806</v>
      </c>
      <c r="E47" s="4" t="s">
        <v>811</v>
      </c>
    </row>
    <row r="48" spans="1:5">
      <c r="A48" s="4">
        <v>90048</v>
      </c>
      <c r="B48" s="4">
        <v>1020</v>
      </c>
      <c r="C48" s="4">
        <v>20240111</v>
      </c>
      <c r="D48" s="4" t="s">
        <v>728</v>
      </c>
      <c r="E48" s="4" t="s">
        <v>809</v>
      </c>
    </row>
    <row r="49" spans="1:5">
      <c r="A49" s="4">
        <v>90049</v>
      </c>
      <c r="B49" s="4">
        <v>1022</v>
      </c>
      <c r="C49" s="4">
        <v>20240404</v>
      </c>
      <c r="D49" s="4" t="s">
        <v>718</v>
      </c>
      <c r="E49" s="4" t="s">
        <v>811</v>
      </c>
    </row>
    <row r="50" spans="1:5">
      <c r="A50" s="4">
        <v>90050</v>
      </c>
      <c r="B50" s="4">
        <v>1045</v>
      </c>
      <c r="C50" s="4">
        <v>20240121</v>
      </c>
      <c r="D50" s="4" t="s">
        <v>808</v>
      </c>
      <c r="E50" s="4" t="s">
        <v>809</v>
      </c>
    </row>
    <row r="51" spans="1:5">
      <c r="A51" s="4">
        <v>90051</v>
      </c>
      <c r="B51" s="4">
        <v>1034</v>
      </c>
      <c r="C51" s="4">
        <v>20240216</v>
      </c>
      <c r="D51" s="4" t="s">
        <v>728</v>
      </c>
      <c r="E51" s="4" t="s">
        <v>807</v>
      </c>
    </row>
    <row r="52" spans="1:5">
      <c r="A52" s="4">
        <v>90052</v>
      </c>
      <c r="B52" s="4">
        <v>1059</v>
      </c>
      <c r="C52" s="4">
        <v>20240104</v>
      </c>
      <c r="D52" s="4" t="s">
        <v>718</v>
      </c>
      <c r="E52" s="4" t="s">
        <v>812</v>
      </c>
    </row>
    <row r="53" spans="1:5">
      <c r="A53" s="4">
        <v>90053</v>
      </c>
      <c r="B53" s="4">
        <v>1056</v>
      </c>
      <c r="C53" s="4">
        <v>20240112</v>
      </c>
      <c r="D53" s="4" t="s">
        <v>718</v>
      </c>
      <c r="E53" s="4" t="s">
        <v>811</v>
      </c>
    </row>
    <row r="54" spans="1:5">
      <c r="A54" s="4">
        <v>90054</v>
      </c>
      <c r="B54" s="4">
        <v>1059</v>
      </c>
      <c r="C54" s="4">
        <v>20240122</v>
      </c>
      <c r="D54" s="4" t="s">
        <v>718</v>
      </c>
      <c r="E54" s="4" t="s">
        <v>810</v>
      </c>
    </row>
    <row r="55" spans="1:5">
      <c r="A55" s="4">
        <v>90055</v>
      </c>
      <c r="B55" s="4">
        <v>1035</v>
      </c>
      <c r="C55" s="4">
        <v>20240310</v>
      </c>
      <c r="D55" s="4" t="s">
        <v>718</v>
      </c>
      <c r="E55" s="4" t="s">
        <v>807</v>
      </c>
    </row>
    <row r="56" spans="1:5">
      <c r="A56" s="4">
        <v>90056</v>
      </c>
      <c r="B56" s="4">
        <v>1040</v>
      </c>
      <c r="C56" s="4">
        <v>20240407</v>
      </c>
      <c r="D56" s="4" t="s">
        <v>728</v>
      </c>
      <c r="E56" s="4" t="s">
        <v>810</v>
      </c>
    </row>
    <row r="57" spans="1:5">
      <c r="A57" s="4">
        <v>90057</v>
      </c>
      <c r="B57" s="4">
        <v>1053</v>
      </c>
      <c r="C57" s="4">
        <v>20240221</v>
      </c>
      <c r="D57" s="4" t="s">
        <v>728</v>
      </c>
      <c r="E57" s="4" t="s">
        <v>809</v>
      </c>
    </row>
    <row r="58" spans="1:5">
      <c r="A58" s="4">
        <v>90058</v>
      </c>
      <c r="B58" s="4">
        <v>1032</v>
      </c>
      <c r="C58" s="4">
        <v>20240215</v>
      </c>
      <c r="D58" s="4" t="s">
        <v>808</v>
      </c>
      <c r="E58" s="4" t="s">
        <v>812</v>
      </c>
    </row>
    <row r="59" spans="1:5">
      <c r="A59" s="4">
        <v>90059</v>
      </c>
      <c r="B59" s="4">
        <v>1051</v>
      </c>
      <c r="C59" s="4">
        <v>20240205</v>
      </c>
      <c r="D59" s="4" t="s">
        <v>806</v>
      </c>
      <c r="E59" s="4" t="s">
        <v>809</v>
      </c>
    </row>
    <row r="60" spans="1:5">
      <c r="A60" s="4">
        <v>90060</v>
      </c>
      <c r="B60" s="4">
        <v>1045</v>
      </c>
      <c r="C60" s="4">
        <v>20240318</v>
      </c>
      <c r="D60" s="4" t="s">
        <v>718</v>
      </c>
      <c r="E60" s="4" t="s">
        <v>811</v>
      </c>
    </row>
    <row r="61" spans="1:5">
      <c r="A61" s="4">
        <v>90061</v>
      </c>
      <c r="B61" s="4">
        <v>1060</v>
      </c>
      <c r="C61" s="4">
        <v>20240402</v>
      </c>
      <c r="D61" s="4" t="s">
        <v>718</v>
      </c>
      <c r="E61" s="4" t="s">
        <v>812</v>
      </c>
    </row>
    <row r="62" spans="1:5">
      <c r="A62" s="4">
        <v>90062</v>
      </c>
      <c r="B62" s="4">
        <v>1024</v>
      </c>
      <c r="C62" s="4">
        <v>20240111</v>
      </c>
      <c r="D62" s="4" t="s">
        <v>728</v>
      </c>
      <c r="E62" s="4" t="s">
        <v>809</v>
      </c>
    </row>
    <row r="63" spans="1:5">
      <c r="A63" s="4">
        <v>90063</v>
      </c>
      <c r="B63" s="4">
        <v>1031</v>
      </c>
      <c r="C63" s="4">
        <v>20240126</v>
      </c>
      <c r="D63" s="4" t="s">
        <v>718</v>
      </c>
      <c r="E63" s="4" t="s">
        <v>809</v>
      </c>
    </row>
    <row r="64" spans="1:5">
      <c r="A64" s="4">
        <v>90064</v>
      </c>
      <c r="B64" s="4">
        <v>1040</v>
      </c>
      <c r="C64" s="4">
        <v>20240319</v>
      </c>
      <c r="D64" s="4" t="s">
        <v>808</v>
      </c>
      <c r="E64" s="4" t="s">
        <v>811</v>
      </c>
    </row>
    <row r="65" spans="1:5">
      <c r="A65" s="4">
        <v>90065</v>
      </c>
      <c r="B65" s="4">
        <v>1042</v>
      </c>
      <c r="C65" s="4">
        <v>20240214</v>
      </c>
      <c r="D65" s="4" t="s">
        <v>808</v>
      </c>
      <c r="E65" s="4" t="s">
        <v>810</v>
      </c>
    </row>
    <row r="66" spans="1:5">
      <c r="A66" s="4">
        <v>90066</v>
      </c>
      <c r="B66" s="4">
        <v>1008</v>
      </c>
      <c r="C66" s="4">
        <v>20240219</v>
      </c>
      <c r="D66" s="4" t="s">
        <v>728</v>
      </c>
      <c r="E66" s="4" t="s">
        <v>811</v>
      </c>
    </row>
    <row r="67" spans="1:5">
      <c r="A67" s="4">
        <v>90067</v>
      </c>
      <c r="B67" s="4">
        <v>1012</v>
      </c>
      <c r="C67" s="4">
        <v>20240225</v>
      </c>
      <c r="D67" s="4" t="s">
        <v>718</v>
      </c>
      <c r="E67" s="4" t="s">
        <v>809</v>
      </c>
    </row>
    <row r="68" spans="1:5">
      <c r="A68" s="4">
        <v>90068</v>
      </c>
      <c r="B68" s="4">
        <v>1047</v>
      </c>
      <c r="C68" s="4">
        <v>20240220</v>
      </c>
      <c r="D68" s="4" t="s">
        <v>806</v>
      </c>
      <c r="E68" s="4" t="s">
        <v>811</v>
      </c>
    </row>
    <row r="69" spans="1:5">
      <c r="A69" s="4">
        <v>90069</v>
      </c>
      <c r="B69" s="4">
        <v>1006</v>
      </c>
      <c r="C69" s="4">
        <v>20240402</v>
      </c>
      <c r="D69" s="4" t="s">
        <v>728</v>
      </c>
      <c r="E69" s="4" t="s">
        <v>809</v>
      </c>
    </row>
    <row r="70" spans="1:5">
      <c r="A70" s="4">
        <v>90070</v>
      </c>
      <c r="B70" s="4">
        <v>1009</v>
      </c>
      <c r="C70" s="4">
        <v>20240104</v>
      </c>
      <c r="D70" s="4" t="s">
        <v>728</v>
      </c>
      <c r="E70" s="4" t="s">
        <v>811</v>
      </c>
    </row>
    <row r="71" spans="1:5">
      <c r="A71" s="4">
        <v>90071</v>
      </c>
      <c r="B71" s="4">
        <v>1030</v>
      </c>
      <c r="C71" s="4">
        <v>20240324</v>
      </c>
      <c r="D71" s="4" t="s">
        <v>728</v>
      </c>
      <c r="E71" s="4" t="s">
        <v>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BF9B-A72C-45E7-AB2D-461EB1FF3B6B}">
  <dimension ref="A1:J54"/>
  <sheetViews>
    <sheetView workbookViewId="0">
      <selection activeCell="A55" sqref="A55"/>
    </sheetView>
  </sheetViews>
  <sheetFormatPr defaultRowHeight="14.4"/>
  <cols>
    <col min="8" max="8" width="26.68359375" customWidth="1"/>
  </cols>
  <sheetData>
    <row r="1" spans="1:10">
      <c r="A1" s="6" t="s">
        <v>813</v>
      </c>
      <c r="B1" s="6" t="s">
        <v>6</v>
      </c>
      <c r="C1" s="6" t="s">
        <v>80</v>
      </c>
      <c r="D1" s="6" t="s">
        <v>814</v>
      </c>
      <c r="E1" s="6" t="s">
        <v>815</v>
      </c>
      <c r="F1" s="6" t="s">
        <v>816</v>
      </c>
      <c r="G1" s="6" t="s">
        <v>817</v>
      </c>
      <c r="H1" s="6" t="s">
        <v>818</v>
      </c>
      <c r="I1" s="6" t="s">
        <v>819</v>
      </c>
      <c r="J1" s="6" t="s">
        <v>820</v>
      </c>
    </row>
    <row r="2" spans="1:10">
      <c r="A2" s="4">
        <v>6001</v>
      </c>
      <c r="B2" s="4">
        <v>1007</v>
      </c>
      <c r="C2" s="4">
        <v>5003</v>
      </c>
      <c r="D2" s="4">
        <v>7</v>
      </c>
      <c r="E2" s="4" t="s">
        <v>821</v>
      </c>
      <c r="F2" s="4" t="s">
        <v>822</v>
      </c>
      <c r="G2" s="4" t="s">
        <v>823</v>
      </c>
      <c r="H2" s="4" t="s">
        <v>824</v>
      </c>
      <c r="I2" s="4">
        <v>28344.51</v>
      </c>
      <c r="J2" s="4" t="s">
        <v>825</v>
      </c>
    </row>
    <row r="3" spans="1:10">
      <c r="A3" s="4">
        <v>6002</v>
      </c>
      <c r="B3" s="4">
        <v>1037</v>
      </c>
      <c r="C3" s="4">
        <v>5015</v>
      </c>
      <c r="D3" s="4">
        <v>19</v>
      </c>
      <c r="E3" s="4" t="s">
        <v>826</v>
      </c>
      <c r="F3" s="4" t="s">
        <v>827</v>
      </c>
      <c r="G3" s="4" t="s">
        <v>828</v>
      </c>
      <c r="H3" s="4" t="s">
        <v>829</v>
      </c>
      <c r="I3" s="4"/>
      <c r="J3" s="4"/>
    </row>
    <row r="4" spans="1:10">
      <c r="A4" s="4">
        <v>6003</v>
      </c>
      <c r="B4" s="4">
        <v>1051</v>
      </c>
      <c r="C4" s="4">
        <v>5024</v>
      </c>
      <c r="D4" s="4">
        <v>17</v>
      </c>
      <c r="E4" s="4" t="s">
        <v>830</v>
      </c>
      <c r="F4" s="4" t="s">
        <v>831</v>
      </c>
      <c r="G4" s="4" t="s">
        <v>832</v>
      </c>
      <c r="H4" s="4" t="s">
        <v>829</v>
      </c>
      <c r="I4" s="4"/>
      <c r="J4" s="4"/>
    </row>
    <row r="5" spans="1:10">
      <c r="A5" s="4">
        <v>6004</v>
      </c>
      <c r="B5" s="4">
        <v>1010</v>
      </c>
      <c r="C5" s="4">
        <v>5034</v>
      </c>
      <c r="D5" s="4">
        <v>8</v>
      </c>
      <c r="E5" s="4" t="s">
        <v>833</v>
      </c>
      <c r="F5" s="4" t="s">
        <v>827</v>
      </c>
      <c r="G5" s="4" t="s">
        <v>834</v>
      </c>
      <c r="H5" s="4" t="s">
        <v>824</v>
      </c>
      <c r="I5" s="4">
        <v>267690.46000000002</v>
      </c>
      <c r="J5" s="4" t="s">
        <v>835</v>
      </c>
    </row>
    <row r="6" spans="1:10">
      <c r="A6" s="4">
        <v>6005</v>
      </c>
      <c r="B6" s="4">
        <v>1025</v>
      </c>
      <c r="C6" s="4">
        <v>5036</v>
      </c>
      <c r="D6" s="4">
        <v>16</v>
      </c>
      <c r="E6" s="4" t="s">
        <v>836</v>
      </c>
      <c r="F6" s="4" t="s">
        <v>837</v>
      </c>
      <c r="G6" s="4" t="s">
        <v>527</v>
      </c>
      <c r="H6" s="4" t="s">
        <v>824</v>
      </c>
      <c r="I6" s="4">
        <v>15130.27</v>
      </c>
      <c r="J6" s="4" t="s">
        <v>838</v>
      </c>
    </row>
    <row r="7" spans="1:10">
      <c r="A7" s="4">
        <v>6006</v>
      </c>
      <c r="B7" s="4">
        <v>1052</v>
      </c>
      <c r="C7" s="4">
        <v>5043</v>
      </c>
      <c r="D7" s="4">
        <v>18</v>
      </c>
      <c r="E7" s="4" t="s">
        <v>839</v>
      </c>
      <c r="F7" s="4" t="s">
        <v>831</v>
      </c>
      <c r="G7" s="4" t="s">
        <v>840</v>
      </c>
      <c r="H7" s="4" t="s">
        <v>841</v>
      </c>
      <c r="I7" s="4"/>
      <c r="J7" s="4"/>
    </row>
    <row r="8" spans="1:10">
      <c r="A8" s="4">
        <v>6007</v>
      </c>
      <c r="B8" s="4">
        <v>1006</v>
      </c>
      <c r="C8" s="4">
        <v>5056</v>
      </c>
      <c r="D8" s="4">
        <v>11</v>
      </c>
      <c r="E8" s="4" t="s">
        <v>842</v>
      </c>
      <c r="F8" s="4" t="s">
        <v>843</v>
      </c>
      <c r="G8" s="4" t="s">
        <v>844</v>
      </c>
      <c r="H8" s="4" t="s">
        <v>841</v>
      </c>
      <c r="I8" s="4"/>
      <c r="J8" s="4"/>
    </row>
    <row r="9" spans="1:10">
      <c r="A9" s="4">
        <v>6008</v>
      </c>
      <c r="B9" s="4">
        <v>1039</v>
      </c>
      <c r="C9" s="4">
        <v>5057</v>
      </c>
      <c r="D9" s="4">
        <v>17</v>
      </c>
      <c r="E9" s="4" t="s">
        <v>845</v>
      </c>
      <c r="F9" s="4" t="s">
        <v>831</v>
      </c>
      <c r="G9" s="4" t="s">
        <v>846</v>
      </c>
      <c r="H9" s="4" t="s">
        <v>841</v>
      </c>
      <c r="I9" s="4"/>
      <c r="J9" s="4"/>
    </row>
    <row r="10" spans="1:10">
      <c r="A10" s="4">
        <v>6009</v>
      </c>
      <c r="B10" s="4">
        <v>1036</v>
      </c>
      <c r="C10" s="4">
        <v>5061</v>
      </c>
      <c r="D10" s="4">
        <v>11</v>
      </c>
      <c r="E10" s="4" t="s">
        <v>847</v>
      </c>
      <c r="F10" s="4" t="s">
        <v>822</v>
      </c>
      <c r="G10" s="4" t="s">
        <v>486</v>
      </c>
      <c r="H10" s="4" t="s">
        <v>841</v>
      </c>
      <c r="I10" s="4"/>
      <c r="J10" s="4"/>
    </row>
    <row r="11" spans="1:10">
      <c r="A11" s="4">
        <v>6010</v>
      </c>
      <c r="B11" s="4">
        <v>1042</v>
      </c>
      <c r="C11" s="4">
        <v>5064</v>
      </c>
      <c r="D11" s="4">
        <v>18</v>
      </c>
      <c r="E11" s="4" t="s">
        <v>848</v>
      </c>
      <c r="F11" s="4" t="s">
        <v>831</v>
      </c>
      <c r="G11" s="4" t="s">
        <v>849</v>
      </c>
      <c r="H11" s="4" t="s">
        <v>841</v>
      </c>
      <c r="I11" s="4"/>
      <c r="J11" s="4"/>
    </row>
    <row r="12" spans="1:10">
      <c r="A12" s="4">
        <v>6011</v>
      </c>
      <c r="B12" s="4">
        <v>1025</v>
      </c>
      <c r="C12" s="4">
        <v>5071</v>
      </c>
      <c r="D12" s="4">
        <v>18</v>
      </c>
      <c r="E12" s="4" t="s">
        <v>850</v>
      </c>
      <c r="F12" s="4" t="s">
        <v>843</v>
      </c>
      <c r="G12" s="4" t="s">
        <v>573</v>
      </c>
      <c r="H12" s="4" t="s">
        <v>841</v>
      </c>
      <c r="I12" s="4"/>
      <c r="J12" s="4"/>
    </row>
    <row r="13" spans="1:10">
      <c r="A13" s="4">
        <v>6012</v>
      </c>
      <c r="B13" s="4">
        <v>1041</v>
      </c>
      <c r="C13" s="4">
        <v>5075</v>
      </c>
      <c r="D13" s="4">
        <v>4</v>
      </c>
      <c r="E13" s="4" t="s">
        <v>851</v>
      </c>
      <c r="F13" s="4" t="s">
        <v>852</v>
      </c>
      <c r="G13" s="4" t="s">
        <v>468</v>
      </c>
      <c r="H13" s="4" t="s">
        <v>841</v>
      </c>
      <c r="I13" s="4"/>
      <c r="J13" s="4"/>
    </row>
    <row r="14" spans="1:10">
      <c r="A14" s="4">
        <v>6013</v>
      </c>
      <c r="B14" s="4">
        <v>1016</v>
      </c>
      <c r="C14" s="4">
        <v>5076</v>
      </c>
      <c r="D14" s="4">
        <v>4</v>
      </c>
      <c r="E14" s="4" t="s">
        <v>853</v>
      </c>
      <c r="F14" s="4" t="s">
        <v>822</v>
      </c>
      <c r="G14" s="4" t="s">
        <v>854</v>
      </c>
      <c r="H14" s="4" t="s">
        <v>829</v>
      </c>
      <c r="I14" s="4"/>
      <c r="J14" s="4"/>
    </row>
    <row r="15" spans="1:10">
      <c r="A15" s="4">
        <v>6014</v>
      </c>
      <c r="B15" s="4">
        <v>1041</v>
      </c>
      <c r="C15" s="4">
        <v>5078</v>
      </c>
      <c r="D15" s="4">
        <v>11</v>
      </c>
      <c r="E15" s="4" t="s">
        <v>855</v>
      </c>
      <c r="F15" s="4" t="s">
        <v>831</v>
      </c>
      <c r="G15" s="4" t="s">
        <v>856</v>
      </c>
      <c r="H15" s="4" t="s">
        <v>824</v>
      </c>
      <c r="I15" s="4">
        <v>12109.29</v>
      </c>
      <c r="J15" s="4" t="s">
        <v>857</v>
      </c>
    </row>
    <row r="16" spans="1:10">
      <c r="A16" s="4">
        <v>6015</v>
      </c>
      <c r="B16" s="4">
        <v>1056</v>
      </c>
      <c r="C16" s="4">
        <v>5080</v>
      </c>
      <c r="D16" s="4">
        <v>3</v>
      </c>
      <c r="E16" s="4" t="s">
        <v>858</v>
      </c>
      <c r="F16" s="4" t="s">
        <v>827</v>
      </c>
      <c r="G16" s="4" t="s">
        <v>859</v>
      </c>
      <c r="H16" s="4" t="s">
        <v>829</v>
      </c>
      <c r="I16" s="4"/>
      <c r="J16" s="4"/>
    </row>
    <row r="17" spans="1:10">
      <c r="A17" s="4">
        <v>6016</v>
      </c>
      <c r="B17" s="4">
        <v>1042</v>
      </c>
      <c r="C17" s="4">
        <v>5084</v>
      </c>
      <c r="D17" s="4">
        <v>11</v>
      </c>
      <c r="E17" s="4" t="s">
        <v>860</v>
      </c>
      <c r="F17" s="4" t="s">
        <v>852</v>
      </c>
      <c r="G17" s="4" t="s">
        <v>861</v>
      </c>
      <c r="H17" s="4" t="s">
        <v>663</v>
      </c>
      <c r="I17" s="4"/>
      <c r="J17" s="4"/>
    </row>
    <row r="18" spans="1:10">
      <c r="A18" s="4">
        <v>6017</v>
      </c>
      <c r="B18" s="4">
        <v>1035</v>
      </c>
      <c r="C18" s="4">
        <v>5089</v>
      </c>
      <c r="D18" s="4">
        <v>17</v>
      </c>
      <c r="E18" s="4" t="s">
        <v>862</v>
      </c>
      <c r="F18" s="4" t="s">
        <v>852</v>
      </c>
      <c r="G18" s="4" t="s">
        <v>500</v>
      </c>
      <c r="H18" s="4" t="s">
        <v>663</v>
      </c>
      <c r="I18" s="4"/>
      <c r="J18" s="4"/>
    </row>
    <row r="19" spans="1:10">
      <c r="A19" s="4">
        <v>6018</v>
      </c>
      <c r="B19" s="4">
        <v>1060</v>
      </c>
      <c r="C19" s="4">
        <v>5011</v>
      </c>
      <c r="D19" s="4">
        <v>9</v>
      </c>
      <c r="E19" s="4" t="s">
        <v>863</v>
      </c>
      <c r="F19" s="4" t="s">
        <v>831</v>
      </c>
      <c r="G19" s="4" t="s">
        <v>864</v>
      </c>
      <c r="H19" s="4" t="s">
        <v>841</v>
      </c>
      <c r="I19" s="4"/>
      <c r="J19" s="4"/>
    </row>
    <row r="20" spans="1:10">
      <c r="A20" s="4">
        <v>6019</v>
      </c>
      <c r="B20" s="4">
        <v>1049</v>
      </c>
      <c r="C20" s="4">
        <v>5077</v>
      </c>
      <c r="D20" s="4">
        <v>19</v>
      </c>
      <c r="E20" s="4" t="s">
        <v>865</v>
      </c>
      <c r="F20" s="4" t="s">
        <v>837</v>
      </c>
      <c r="G20" s="4" t="s">
        <v>461</v>
      </c>
      <c r="H20" s="4" t="s">
        <v>829</v>
      </c>
      <c r="I20" s="4"/>
      <c r="J20" s="4"/>
    </row>
    <row r="21" spans="1:10">
      <c r="A21" s="4">
        <v>6020</v>
      </c>
      <c r="B21" s="4">
        <v>1048</v>
      </c>
      <c r="C21" s="4">
        <v>5066</v>
      </c>
      <c r="D21" s="4">
        <v>1</v>
      </c>
      <c r="E21" s="4" t="s">
        <v>866</v>
      </c>
      <c r="F21" s="4" t="s">
        <v>822</v>
      </c>
      <c r="G21" s="4" t="s">
        <v>867</v>
      </c>
      <c r="H21" s="4" t="s">
        <v>824</v>
      </c>
      <c r="I21" s="4">
        <v>2565.79</v>
      </c>
      <c r="J21" s="4" t="s">
        <v>868</v>
      </c>
    </row>
    <row r="22" spans="1:10">
      <c r="A22" s="4">
        <v>6021</v>
      </c>
      <c r="B22" s="4">
        <v>1054</v>
      </c>
      <c r="C22" s="4">
        <v>5038</v>
      </c>
      <c r="D22" s="4">
        <v>10</v>
      </c>
      <c r="E22" s="4" t="s">
        <v>869</v>
      </c>
      <c r="F22" s="4" t="s">
        <v>852</v>
      </c>
      <c r="G22" s="4" t="s">
        <v>870</v>
      </c>
      <c r="H22" s="4" t="s">
        <v>824</v>
      </c>
      <c r="I22" s="4">
        <v>216402.5</v>
      </c>
      <c r="J22" s="4" t="s">
        <v>857</v>
      </c>
    </row>
    <row r="23" spans="1:10">
      <c r="A23" s="4">
        <v>6022</v>
      </c>
      <c r="B23" s="4">
        <v>1019</v>
      </c>
      <c r="C23" s="4">
        <v>5062</v>
      </c>
      <c r="D23" s="4">
        <v>20</v>
      </c>
      <c r="E23" s="4" t="s">
        <v>871</v>
      </c>
      <c r="F23" s="4" t="s">
        <v>831</v>
      </c>
      <c r="G23" s="4" t="s">
        <v>872</v>
      </c>
      <c r="H23" s="4" t="s">
        <v>663</v>
      </c>
      <c r="I23" s="4"/>
      <c r="J23" s="4"/>
    </row>
    <row r="24" spans="1:10">
      <c r="A24" s="4">
        <v>6023</v>
      </c>
      <c r="B24" s="4">
        <v>1017</v>
      </c>
      <c r="C24" s="4">
        <v>5044</v>
      </c>
      <c r="D24" s="4">
        <v>19</v>
      </c>
      <c r="E24" s="4" t="s">
        <v>873</v>
      </c>
      <c r="F24" s="4" t="s">
        <v>827</v>
      </c>
      <c r="G24" s="4" t="s">
        <v>874</v>
      </c>
      <c r="H24" s="4" t="s">
        <v>841</v>
      </c>
      <c r="I24" s="4"/>
      <c r="J24" s="4"/>
    </row>
    <row r="25" spans="1:10">
      <c r="A25" s="4">
        <v>6024</v>
      </c>
      <c r="B25" s="4">
        <v>1022</v>
      </c>
      <c r="C25" s="4">
        <v>5042</v>
      </c>
      <c r="D25" s="4">
        <v>4</v>
      </c>
      <c r="E25" s="4" t="s">
        <v>875</v>
      </c>
      <c r="F25" s="4" t="s">
        <v>831</v>
      </c>
      <c r="G25" s="4" t="s">
        <v>876</v>
      </c>
      <c r="H25" s="4" t="s">
        <v>841</v>
      </c>
      <c r="I25" s="4"/>
      <c r="J25" s="4"/>
    </row>
    <row r="26" spans="1:10">
      <c r="A26" s="4">
        <v>6025</v>
      </c>
      <c r="B26" s="4">
        <v>1046</v>
      </c>
      <c r="C26" s="4">
        <v>5021</v>
      </c>
      <c r="D26" s="4">
        <v>6</v>
      </c>
      <c r="E26" s="4" t="s">
        <v>877</v>
      </c>
      <c r="F26" s="4" t="s">
        <v>852</v>
      </c>
      <c r="G26" s="4" t="s">
        <v>878</v>
      </c>
      <c r="H26" s="4" t="s">
        <v>841</v>
      </c>
      <c r="I26" s="4"/>
      <c r="J26" s="4"/>
    </row>
    <row r="27" spans="1:10">
      <c r="A27" s="4">
        <v>6026</v>
      </c>
      <c r="B27" s="4">
        <v>1043</v>
      </c>
      <c r="C27" s="4">
        <v>5087</v>
      </c>
      <c r="D27" s="4">
        <v>17</v>
      </c>
      <c r="E27" s="4" t="s">
        <v>879</v>
      </c>
      <c r="F27" s="4" t="s">
        <v>852</v>
      </c>
      <c r="G27" s="4" t="s">
        <v>880</v>
      </c>
      <c r="H27" s="4" t="s">
        <v>824</v>
      </c>
      <c r="I27" s="4">
        <v>9870.8700000000008</v>
      </c>
      <c r="J27" s="4" t="s">
        <v>881</v>
      </c>
    </row>
    <row r="28" spans="1:10">
      <c r="A28" s="4">
        <v>6027</v>
      </c>
      <c r="B28" s="4">
        <v>1003</v>
      </c>
      <c r="C28" s="4">
        <v>5014</v>
      </c>
      <c r="D28" s="4">
        <v>14</v>
      </c>
      <c r="E28" s="4" t="s">
        <v>882</v>
      </c>
      <c r="F28" s="4" t="s">
        <v>831</v>
      </c>
      <c r="G28" s="4" t="s">
        <v>883</v>
      </c>
      <c r="H28" s="4" t="s">
        <v>829</v>
      </c>
      <c r="I28" s="4"/>
      <c r="J28" s="4"/>
    </row>
    <row r="29" spans="1:10">
      <c r="A29" s="4">
        <v>6028</v>
      </c>
      <c r="B29" s="4">
        <v>1056</v>
      </c>
      <c r="C29" s="4">
        <v>5028</v>
      </c>
      <c r="D29" s="4">
        <v>15</v>
      </c>
      <c r="E29" s="4" t="s">
        <v>884</v>
      </c>
      <c r="F29" s="4" t="s">
        <v>837</v>
      </c>
      <c r="G29" s="4" t="s">
        <v>521</v>
      </c>
      <c r="H29" s="4" t="s">
        <v>829</v>
      </c>
      <c r="I29" s="4"/>
      <c r="J29" s="4"/>
    </row>
    <row r="30" spans="1:10">
      <c r="A30" s="4">
        <v>6029</v>
      </c>
      <c r="B30" s="4">
        <v>1044</v>
      </c>
      <c r="C30" s="4">
        <v>5069</v>
      </c>
      <c r="D30" s="4">
        <v>19</v>
      </c>
      <c r="E30" s="4" t="s">
        <v>885</v>
      </c>
      <c r="F30" s="4" t="s">
        <v>843</v>
      </c>
      <c r="G30" s="4" t="s">
        <v>886</v>
      </c>
      <c r="H30" s="4" t="s">
        <v>829</v>
      </c>
      <c r="I30" s="4"/>
      <c r="J30" s="4"/>
    </row>
    <row r="31" spans="1:10">
      <c r="A31" s="4">
        <v>6030</v>
      </c>
      <c r="B31" s="4">
        <v>1024</v>
      </c>
      <c r="C31" s="4">
        <v>5040</v>
      </c>
      <c r="D31" s="4">
        <v>5</v>
      </c>
      <c r="E31" s="4" t="s">
        <v>887</v>
      </c>
      <c r="F31" s="4" t="s">
        <v>831</v>
      </c>
      <c r="G31" s="4" t="s">
        <v>834</v>
      </c>
      <c r="H31" s="4" t="s">
        <v>824</v>
      </c>
      <c r="I31" s="4">
        <v>1433.84</v>
      </c>
      <c r="J31" s="4" t="s">
        <v>888</v>
      </c>
    </row>
    <row r="32" spans="1:10">
      <c r="A32" s="4">
        <v>6031</v>
      </c>
      <c r="B32" s="4">
        <v>1018</v>
      </c>
      <c r="C32" s="4">
        <v>5048</v>
      </c>
      <c r="D32" s="4">
        <v>2</v>
      </c>
      <c r="E32" s="4" t="s">
        <v>889</v>
      </c>
      <c r="F32" s="4" t="s">
        <v>837</v>
      </c>
      <c r="G32" s="4" t="s">
        <v>890</v>
      </c>
      <c r="H32" s="4" t="s">
        <v>841</v>
      </c>
      <c r="I32" s="4"/>
      <c r="J32" s="4"/>
    </row>
    <row r="33" spans="1:10">
      <c r="A33" s="4">
        <v>6032</v>
      </c>
      <c r="B33" s="4">
        <v>1010</v>
      </c>
      <c r="C33" s="4">
        <v>5025</v>
      </c>
      <c r="D33" s="4">
        <v>15</v>
      </c>
      <c r="E33" s="4" t="s">
        <v>891</v>
      </c>
      <c r="F33" s="4" t="s">
        <v>852</v>
      </c>
      <c r="G33" s="4" t="s">
        <v>892</v>
      </c>
      <c r="H33" s="4" t="s">
        <v>841</v>
      </c>
      <c r="I33" s="4"/>
      <c r="J33" s="4"/>
    </row>
    <row r="34" spans="1:10">
      <c r="A34" s="4">
        <v>6033</v>
      </c>
      <c r="B34" s="4">
        <v>1045</v>
      </c>
      <c r="C34" s="4">
        <v>5086</v>
      </c>
      <c r="D34" s="4">
        <v>13</v>
      </c>
      <c r="E34" s="4" t="s">
        <v>893</v>
      </c>
      <c r="F34" s="4" t="s">
        <v>894</v>
      </c>
      <c r="G34" s="4" t="s">
        <v>461</v>
      </c>
      <c r="H34" s="4" t="s">
        <v>841</v>
      </c>
      <c r="I34" s="4"/>
      <c r="J34" s="4"/>
    </row>
    <row r="35" spans="1:10">
      <c r="A35" s="4">
        <v>6034</v>
      </c>
      <c r="B35" s="4">
        <v>1007</v>
      </c>
      <c r="C35" s="4">
        <v>5054</v>
      </c>
      <c r="D35" s="4">
        <v>15</v>
      </c>
      <c r="E35" s="4" t="s">
        <v>895</v>
      </c>
      <c r="F35" s="4" t="s">
        <v>827</v>
      </c>
      <c r="G35" s="4" t="s">
        <v>838</v>
      </c>
      <c r="H35" s="4" t="s">
        <v>829</v>
      </c>
      <c r="I35" s="4"/>
      <c r="J35" s="4"/>
    </row>
    <row r="36" spans="1:10">
      <c r="A36" s="4">
        <v>6035</v>
      </c>
      <c r="B36" s="4">
        <v>1052</v>
      </c>
      <c r="C36" s="4">
        <v>5027</v>
      </c>
      <c r="D36" s="4">
        <v>13</v>
      </c>
      <c r="E36" s="4" t="s">
        <v>896</v>
      </c>
      <c r="F36" s="4" t="s">
        <v>822</v>
      </c>
      <c r="G36" s="4" t="s">
        <v>897</v>
      </c>
      <c r="H36" s="4" t="s">
        <v>663</v>
      </c>
      <c r="I36" s="4"/>
      <c r="J36" s="4"/>
    </row>
    <row r="37" spans="1:10">
      <c r="A37" s="4">
        <v>6036</v>
      </c>
      <c r="B37" s="4">
        <v>1005</v>
      </c>
      <c r="C37" s="4">
        <v>5006</v>
      </c>
      <c r="D37" s="4">
        <v>19</v>
      </c>
      <c r="E37" s="4" t="s">
        <v>898</v>
      </c>
      <c r="F37" s="4" t="s">
        <v>837</v>
      </c>
      <c r="G37" s="4" t="s">
        <v>899</v>
      </c>
      <c r="H37" s="4" t="s">
        <v>829</v>
      </c>
      <c r="I37" s="4"/>
      <c r="J37" s="4"/>
    </row>
    <row r="38" spans="1:10">
      <c r="A38" s="4">
        <v>6037</v>
      </c>
      <c r="B38" s="4">
        <v>1033</v>
      </c>
      <c r="C38" s="4">
        <v>5079</v>
      </c>
      <c r="D38" s="4">
        <v>3</v>
      </c>
      <c r="E38" s="4" t="s">
        <v>900</v>
      </c>
      <c r="F38" s="4" t="s">
        <v>843</v>
      </c>
      <c r="G38" s="4" t="s">
        <v>446</v>
      </c>
      <c r="H38" s="4" t="s">
        <v>829</v>
      </c>
      <c r="I38" s="4"/>
      <c r="J38" s="4"/>
    </row>
    <row r="39" spans="1:10">
      <c r="A39" s="4">
        <v>6038</v>
      </c>
      <c r="B39" s="4">
        <v>1031</v>
      </c>
      <c r="C39" s="4">
        <v>5005</v>
      </c>
      <c r="D39" s="4">
        <v>15</v>
      </c>
      <c r="E39" s="4" t="s">
        <v>901</v>
      </c>
      <c r="F39" s="4" t="s">
        <v>831</v>
      </c>
      <c r="G39" s="4" t="s">
        <v>902</v>
      </c>
      <c r="H39" s="4" t="s">
        <v>841</v>
      </c>
      <c r="I39" s="4"/>
      <c r="J39" s="4"/>
    </row>
    <row r="40" spans="1:10">
      <c r="A40" s="4">
        <v>6039</v>
      </c>
      <c r="B40" s="4">
        <v>1024</v>
      </c>
      <c r="C40" s="4">
        <v>5049</v>
      </c>
      <c r="D40" s="4">
        <v>18</v>
      </c>
      <c r="E40" s="4" t="s">
        <v>903</v>
      </c>
      <c r="F40" s="4" t="s">
        <v>827</v>
      </c>
      <c r="G40" s="4" t="s">
        <v>904</v>
      </c>
      <c r="H40" s="4" t="s">
        <v>824</v>
      </c>
      <c r="I40" s="4">
        <v>43024.36</v>
      </c>
      <c r="J40" s="4" t="s">
        <v>778</v>
      </c>
    </row>
    <row r="41" spans="1:10">
      <c r="A41" s="4">
        <v>6040</v>
      </c>
      <c r="B41" s="4">
        <v>1021</v>
      </c>
      <c r="C41" s="4">
        <v>5030</v>
      </c>
      <c r="D41" s="4">
        <v>16</v>
      </c>
      <c r="E41" s="4" t="s">
        <v>905</v>
      </c>
      <c r="F41" s="4" t="s">
        <v>827</v>
      </c>
      <c r="G41" s="4" t="s">
        <v>854</v>
      </c>
      <c r="H41" s="4" t="s">
        <v>829</v>
      </c>
      <c r="I41" s="4"/>
      <c r="J41" s="4"/>
    </row>
    <row r="42" spans="1:10">
      <c r="A42" s="4">
        <v>6041</v>
      </c>
      <c r="B42" s="4">
        <v>1043</v>
      </c>
      <c r="C42" s="4">
        <v>5017</v>
      </c>
      <c r="D42" s="4">
        <v>4</v>
      </c>
      <c r="E42" s="4" t="s">
        <v>906</v>
      </c>
      <c r="F42" s="4" t="s">
        <v>852</v>
      </c>
      <c r="G42" s="4" t="s">
        <v>907</v>
      </c>
      <c r="H42" s="4" t="s">
        <v>829</v>
      </c>
      <c r="I42" s="4"/>
      <c r="J42" s="4"/>
    </row>
    <row r="43" spans="1:10">
      <c r="A43" s="4">
        <v>6042</v>
      </c>
      <c r="B43" s="4">
        <v>1036</v>
      </c>
      <c r="C43" s="4">
        <v>5020</v>
      </c>
      <c r="D43" s="4">
        <v>5</v>
      </c>
      <c r="E43" s="4" t="s">
        <v>908</v>
      </c>
      <c r="F43" s="4" t="s">
        <v>843</v>
      </c>
      <c r="G43" s="4" t="s">
        <v>909</v>
      </c>
      <c r="H43" s="4" t="s">
        <v>663</v>
      </c>
      <c r="I43" s="4"/>
      <c r="J43" s="4"/>
    </row>
    <row r="44" spans="1:10">
      <c r="A44" s="4">
        <v>6043</v>
      </c>
      <c r="B44" s="4">
        <v>1022</v>
      </c>
      <c r="C44" s="4">
        <v>5088</v>
      </c>
      <c r="D44" s="4">
        <v>16</v>
      </c>
      <c r="E44" s="4" t="s">
        <v>910</v>
      </c>
      <c r="F44" s="4" t="s">
        <v>852</v>
      </c>
      <c r="G44" s="4" t="s">
        <v>911</v>
      </c>
      <c r="H44" s="4" t="s">
        <v>841</v>
      </c>
      <c r="I44" s="4"/>
      <c r="J44" s="4"/>
    </row>
    <row r="45" spans="1:10">
      <c r="A45" s="4">
        <v>6044</v>
      </c>
      <c r="B45" s="4">
        <v>1035</v>
      </c>
      <c r="C45" s="4">
        <v>5019</v>
      </c>
      <c r="D45" s="4">
        <v>15</v>
      </c>
      <c r="E45" s="4" t="s">
        <v>912</v>
      </c>
      <c r="F45" s="4" t="s">
        <v>843</v>
      </c>
      <c r="G45" s="4" t="s">
        <v>913</v>
      </c>
      <c r="H45" s="4" t="s">
        <v>824</v>
      </c>
      <c r="I45" s="4">
        <v>179972.51</v>
      </c>
      <c r="J45" s="4" t="s">
        <v>551</v>
      </c>
    </row>
    <row r="46" spans="1:10">
      <c r="A46" s="4">
        <v>6045</v>
      </c>
      <c r="B46" s="4">
        <v>1002</v>
      </c>
      <c r="C46" s="4">
        <v>5072</v>
      </c>
      <c r="D46" s="4">
        <v>15</v>
      </c>
      <c r="E46" s="4" t="s">
        <v>914</v>
      </c>
      <c r="F46" s="4" t="s">
        <v>827</v>
      </c>
      <c r="G46" s="4" t="s">
        <v>449</v>
      </c>
      <c r="H46" s="4" t="s">
        <v>829</v>
      </c>
      <c r="I46" s="4"/>
      <c r="J46" s="4"/>
    </row>
    <row r="47" spans="1:10">
      <c r="A47" s="4">
        <v>6046</v>
      </c>
      <c r="B47" s="4">
        <v>1038</v>
      </c>
      <c r="C47" s="4">
        <v>5008</v>
      </c>
      <c r="D47" s="4">
        <v>14</v>
      </c>
      <c r="E47" s="4" t="s">
        <v>915</v>
      </c>
      <c r="F47" s="4" t="s">
        <v>831</v>
      </c>
      <c r="G47" s="4" t="s">
        <v>916</v>
      </c>
      <c r="H47" s="4" t="s">
        <v>841</v>
      </c>
      <c r="I47" s="4"/>
      <c r="J47" s="4"/>
    </row>
    <row r="48" spans="1:10">
      <c r="A48" s="4">
        <v>6047</v>
      </c>
      <c r="B48" s="4">
        <v>1049</v>
      </c>
      <c r="C48" s="4">
        <v>5007</v>
      </c>
      <c r="D48" s="4">
        <v>14</v>
      </c>
      <c r="E48" s="4" t="s">
        <v>917</v>
      </c>
      <c r="F48" s="4" t="s">
        <v>843</v>
      </c>
      <c r="G48" s="4" t="s">
        <v>918</v>
      </c>
      <c r="H48" s="4" t="s">
        <v>841</v>
      </c>
      <c r="I48" s="4"/>
      <c r="J48" s="4"/>
    </row>
    <row r="49" spans="1:10">
      <c r="A49" s="4">
        <v>6048</v>
      </c>
      <c r="B49" s="4">
        <v>1059</v>
      </c>
      <c r="C49" s="4">
        <v>5012</v>
      </c>
      <c r="D49" s="4">
        <v>9</v>
      </c>
      <c r="E49" s="4" t="s">
        <v>919</v>
      </c>
      <c r="F49" s="4" t="s">
        <v>837</v>
      </c>
      <c r="G49" s="4" t="s">
        <v>485</v>
      </c>
      <c r="H49" s="4" t="s">
        <v>829</v>
      </c>
      <c r="I49" s="4"/>
      <c r="J49" s="4"/>
    </row>
    <row r="50" spans="1:10">
      <c r="A50" s="4">
        <v>6049</v>
      </c>
      <c r="B50" s="4">
        <v>1023</v>
      </c>
      <c r="C50" s="4">
        <v>5063</v>
      </c>
      <c r="D50" s="4">
        <v>18</v>
      </c>
      <c r="E50" s="4" t="s">
        <v>920</v>
      </c>
      <c r="F50" s="4" t="s">
        <v>831</v>
      </c>
      <c r="G50" s="4" t="s">
        <v>907</v>
      </c>
      <c r="H50" s="4" t="s">
        <v>824</v>
      </c>
      <c r="I50" s="4">
        <v>16103.99</v>
      </c>
      <c r="J50" s="4" t="s">
        <v>921</v>
      </c>
    </row>
    <row r="51" spans="1:10">
      <c r="A51" s="4">
        <v>6050</v>
      </c>
      <c r="B51" s="4">
        <v>1010</v>
      </c>
      <c r="C51" s="4">
        <v>5023</v>
      </c>
      <c r="D51" s="4">
        <v>13</v>
      </c>
      <c r="E51" s="4" t="s">
        <v>922</v>
      </c>
      <c r="F51" s="4" t="s">
        <v>894</v>
      </c>
      <c r="G51" s="4" t="s">
        <v>519</v>
      </c>
      <c r="H51" s="4" t="s">
        <v>824</v>
      </c>
      <c r="I51" s="4">
        <v>1358.91</v>
      </c>
      <c r="J51" s="4" t="s">
        <v>923</v>
      </c>
    </row>
    <row r="52" spans="1:10">
      <c r="A52" s="4">
        <v>6051</v>
      </c>
      <c r="B52" s="4">
        <v>1059</v>
      </c>
      <c r="C52" s="4">
        <v>5065</v>
      </c>
      <c r="D52" s="4">
        <v>11</v>
      </c>
      <c r="E52" s="4" t="s">
        <v>924</v>
      </c>
      <c r="F52" s="4" t="s">
        <v>894</v>
      </c>
      <c r="G52" s="4" t="s">
        <v>473</v>
      </c>
      <c r="H52" s="4" t="s">
        <v>829</v>
      </c>
      <c r="I52" s="4"/>
      <c r="J52" s="4"/>
    </row>
    <row r="53" spans="1:10">
      <c r="A53" s="4">
        <v>6052</v>
      </c>
      <c r="B53" s="4">
        <v>1054</v>
      </c>
      <c r="C53" s="4">
        <v>5060</v>
      </c>
      <c r="D53" s="4">
        <v>3</v>
      </c>
      <c r="E53" s="4" t="s">
        <v>925</v>
      </c>
      <c r="F53" s="4" t="s">
        <v>894</v>
      </c>
      <c r="G53" s="4" t="s">
        <v>526</v>
      </c>
      <c r="H53" s="4" t="s">
        <v>926</v>
      </c>
      <c r="I53" s="4"/>
      <c r="J53" s="4"/>
    </row>
    <row r="54" spans="1:10">
      <c r="A54" s="4">
        <v>6053</v>
      </c>
      <c r="B54" s="4">
        <v>1029</v>
      </c>
      <c r="C54" s="4">
        <v>5013</v>
      </c>
      <c r="D54" s="4">
        <v>4</v>
      </c>
      <c r="E54" s="4" t="s">
        <v>927</v>
      </c>
      <c r="F54" s="4" t="s">
        <v>852</v>
      </c>
      <c r="G54" s="4" t="s">
        <v>451</v>
      </c>
      <c r="H54" s="4" t="s">
        <v>841</v>
      </c>
      <c r="I54" s="4"/>
      <c r="J5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zoomScaleNormal="100" workbookViewId="0">
      <pane ySplit="1" topLeftCell="A25" activePane="bottomLeft" state="frozen"/>
      <selection activeCell="A55" sqref="A55"/>
      <selection pane="bottomLeft" activeCell="B55" sqref="B55"/>
    </sheetView>
  </sheetViews>
  <sheetFormatPr defaultColWidth="8.68359375" defaultRowHeight="14.4"/>
  <cols>
    <col min="1" max="2" width="15" customWidth="1"/>
    <col min="3" max="4" width="14" customWidth="1"/>
    <col min="5" max="5" width="17" customWidth="1"/>
    <col min="6" max="7" width="14" customWidth="1"/>
    <col min="8" max="8" width="19" customWidth="1"/>
  </cols>
  <sheetData>
    <row r="1" spans="1:8">
      <c r="A1" s="3" t="s">
        <v>6</v>
      </c>
      <c r="B1" s="3" t="s">
        <v>10</v>
      </c>
      <c r="C1" s="3" t="s">
        <v>14</v>
      </c>
      <c r="D1" s="3" t="s">
        <v>17</v>
      </c>
      <c r="E1" s="3" t="s">
        <v>19</v>
      </c>
      <c r="F1" s="3" t="s">
        <v>22</v>
      </c>
      <c r="G1" s="3" t="s">
        <v>26</v>
      </c>
      <c r="H1" s="3" t="s">
        <v>30</v>
      </c>
    </row>
    <row r="2" spans="1:8">
      <c r="A2" s="4">
        <v>1001</v>
      </c>
      <c r="B2" s="4">
        <v>2820408719176</v>
      </c>
      <c r="C2" s="4" t="s">
        <v>164</v>
      </c>
      <c r="D2" s="4" t="s">
        <v>18</v>
      </c>
      <c r="E2" s="4" t="s">
        <v>165</v>
      </c>
      <c r="F2" s="4" t="s">
        <v>166</v>
      </c>
      <c r="G2" s="4" t="s">
        <v>167</v>
      </c>
      <c r="H2" s="4" t="s">
        <v>168</v>
      </c>
    </row>
    <row r="3" spans="1:8">
      <c r="A3" s="4">
        <v>1002</v>
      </c>
      <c r="B3" s="4">
        <v>3971001331148</v>
      </c>
      <c r="C3" s="4" t="s">
        <v>169</v>
      </c>
      <c r="D3" s="4" t="s">
        <v>170</v>
      </c>
      <c r="E3" s="4" t="s">
        <v>171</v>
      </c>
      <c r="F3" s="4" t="s">
        <v>172</v>
      </c>
      <c r="G3" s="4" t="s">
        <v>29</v>
      </c>
      <c r="H3" s="4" t="s">
        <v>173</v>
      </c>
    </row>
    <row r="4" spans="1:8">
      <c r="A4" s="4">
        <v>1003</v>
      </c>
      <c r="B4" s="4">
        <v>2860505498382</v>
      </c>
      <c r="C4" s="4" t="s">
        <v>174</v>
      </c>
      <c r="D4" s="4" t="s">
        <v>175</v>
      </c>
      <c r="E4" s="4" t="s">
        <v>176</v>
      </c>
      <c r="F4" s="4" t="s">
        <v>177</v>
      </c>
      <c r="G4" s="4" t="s">
        <v>178</v>
      </c>
      <c r="H4" s="4" t="s">
        <v>179</v>
      </c>
    </row>
    <row r="5" spans="1:8">
      <c r="A5" s="4">
        <v>1004</v>
      </c>
      <c r="B5" s="4">
        <v>3940904969693</v>
      </c>
      <c r="C5" s="4" t="s">
        <v>180</v>
      </c>
      <c r="D5" s="4" t="s">
        <v>181</v>
      </c>
      <c r="E5" s="4" t="s">
        <v>182</v>
      </c>
      <c r="F5" s="4" t="s">
        <v>183</v>
      </c>
      <c r="G5" s="4" t="s">
        <v>178</v>
      </c>
      <c r="H5" s="4" t="s">
        <v>184</v>
      </c>
    </row>
    <row r="6" spans="1:8">
      <c r="A6" s="4">
        <v>1005</v>
      </c>
      <c r="B6" s="4">
        <v>2671108205907</v>
      </c>
      <c r="C6" s="4" t="s">
        <v>185</v>
      </c>
      <c r="D6" s="4" t="s">
        <v>186</v>
      </c>
      <c r="E6" s="4" t="s">
        <v>187</v>
      </c>
      <c r="F6" s="4" t="s">
        <v>188</v>
      </c>
      <c r="G6" s="4" t="s">
        <v>189</v>
      </c>
      <c r="H6" s="4" t="s">
        <v>190</v>
      </c>
    </row>
    <row r="7" spans="1:8">
      <c r="A7" s="4">
        <v>1006</v>
      </c>
      <c r="B7" s="4">
        <v>2870422738720</v>
      </c>
      <c r="C7" s="4" t="s">
        <v>174</v>
      </c>
      <c r="D7" s="4" t="s">
        <v>191</v>
      </c>
      <c r="E7" s="4" t="s">
        <v>192</v>
      </c>
      <c r="F7" s="4" t="s">
        <v>193</v>
      </c>
      <c r="G7" s="4" t="s">
        <v>194</v>
      </c>
      <c r="H7" s="4" t="s">
        <v>195</v>
      </c>
    </row>
    <row r="8" spans="1:8">
      <c r="A8" s="4">
        <v>1007</v>
      </c>
      <c r="B8" s="4">
        <v>3890521983794</v>
      </c>
      <c r="C8" s="4" t="s">
        <v>174</v>
      </c>
      <c r="D8" s="4" t="s">
        <v>196</v>
      </c>
      <c r="E8" s="4" t="s">
        <v>197</v>
      </c>
      <c r="F8" s="4" t="s">
        <v>198</v>
      </c>
      <c r="G8" s="4" t="s">
        <v>29</v>
      </c>
      <c r="H8" s="4" t="s">
        <v>199</v>
      </c>
    </row>
    <row r="9" spans="1:8">
      <c r="A9" s="4">
        <v>1008</v>
      </c>
      <c r="B9" s="4">
        <v>2820207787277</v>
      </c>
      <c r="C9" s="4" t="s">
        <v>200</v>
      </c>
      <c r="D9" s="4" t="s">
        <v>201</v>
      </c>
      <c r="E9" s="4" t="s">
        <v>202</v>
      </c>
      <c r="F9" s="4" t="s">
        <v>203</v>
      </c>
      <c r="G9" s="4" t="s">
        <v>204</v>
      </c>
      <c r="H9" s="4" t="s">
        <v>205</v>
      </c>
    </row>
    <row r="10" spans="1:8">
      <c r="A10" s="4">
        <v>1009</v>
      </c>
      <c r="B10" s="4">
        <v>3801218711878</v>
      </c>
      <c r="C10" s="4" t="s">
        <v>180</v>
      </c>
      <c r="D10" s="4" t="s">
        <v>206</v>
      </c>
      <c r="E10" s="4" t="s">
        <v>207</v>
      </c>
      <c r="F10" s="4" t="s">
        <v>208</v>
      </c>
      <c r="G10" s="4" t="s">
        <v>204</v>
      </c>
      <c r="H10" s="4" t="s">
        <v>209</v>
      </c>
    </row>
    <row r="11" spans="1:8">
      <c r="A11" s="4">
        <v>1010</v>
      </c>
      <c r="B11" s="4">
        <v>2700128930555</v>
      </c>
      <c r="C11" s="4" t="s">
        <v>210</v>
      </c>
      <c r="D11" s="4" t="s">
        <v>211</v>
      </c>
      <c r="E11" s="4" t="s">
        <v>212</v>
      </c>
      <c r="F11" s="4" t="s">
        <v>213</v>
      </c>
      <c r="G11" s="4" t="s">
        <v>167</v>
      </c>
      <c r="H11" s="4" t="s">
        <v>214</v>
      </c>
    </row>
    <row r="12" spans="1:8">
      <c r="A12" s="4">
        <v>1011</v>
      </c>
      <c r="B12" s="4">
        <v>2940909814825</v>
      </c>
      <c r="C12" s="4" t="s">
        <v>215</v>
      </c>
      <c r="D12" s="4" t="s">
        <v>201</v>
      </c>
      <c r="E12" s="4" t="s">
        <v>216</v>
      </c>
      <c r="F12" s="4" t="s">
        <v>217</v>
      </c>
      <c r="G12" s="4" t="s">
        <v>167</v>
      </c>
      <c r="H12" s="4" t="s">
        <v>218</v>
      </c>
    </row>
    <row r="13" spans="1:8">
      <c r="A13" s="4">
        <v>1012</v>
      </c>
      <c r="B13" s="4">
        <v>2750801632342</v>
      </c>
      <c r="C13" s="4" t="s">
        <v>219</v>
      </c>
      <c r="D13" s="4" t="s">
        <v>175</v>
      </c>
      <c r="E13" s="4" t="s">
        <v>220</v>
      </c>
      <c r="F13" s="4" t="s">
        <v>221</v>
      </c>
      <c r="G13" s="4" t="s">
        <v>178</v>
      </c>
      <c r="H13" s="4" t="s">
        <v>222</v>
      </c>
    </row>
    <row r="14" spans="1:8">
      <c r="A14" s="4">
        <v>1013</v>
      </c>
      <c r="B14" s="4">
        <v>3880318612340</v>
      </c>
      <c r="C14" s="4" t="s">
        <v>185</v>
      </c>
      <c r="D14" s="4" t="s">
        <v>206</v>
      </c>
      <c r="E14" s="4" t="s">
        <v>223</v>
      </c>
      <c r="F14" s="4" t="s">
        <v>224</v>
      </c>
      <c r="G14" s="4" t="s">
        <v>225</v>
      </c>
      <c r="H14" s="4" t="s">
        <v>226</v>
      </c>
    </row>
    <row r="15" spans="1:8">
      <c r="A15" s="4">
        <v>1014</v>
      </c>
      <c r="B15" s="4">
        <v>2801003897549</v>
      </c>
      <c r="C15" s="4" t="s">
        <v>227</v>
      </c>
      <c r="D15" s="4" t="s">
        <v>181</v>
      </c>
      <c r="E15" s="4" t="s">
        <v>228</v>
      </c>
      <c r="F15" s="4" t="s">
        <v>229</v>
      </c>
      <c r="G15" s="4" t="s">
        <v>230</v>
      </c>
      <c r="H15" s="4" t="s">
        <v>231</v>
      </c>
    </row>
    <row r="16" spans="1:8">
      <c r="A16" s="4">
        <v>1015</v>
      </c>
      <c r="B16" s="4">
        <v>2810928847581</v>
      </c>
      <c r="C16" s="4" t="s">
        <v>232</v>
      </c>
      <c r="D16" s="4" t="s">
        <v>233</v>
      </c>
      <c r="E16" s="4" t="s">
        <v>234</v>
      </c>
      <c r="F16" s="4" t="s">
        <v>235</v>
      </c>
      <c r="G16" s="4" t="s">
        <v>230</v>
      </c>
      <c r="H16" s="4" t="s">
        <v>236</v>
      </c>
    </row>
    <row r="17" spans="1:8">
      <c r="A17" s="4">
        <v>1016</v>
      </c>
      <c r="B17" s="4">
        <v>2720408717024</v>
      </c>
      <c r="C17" s="4" t="s">
        <v>237</v>
      </c>
      <c r="D17" s="4" t="s">
        <v>196</v>
      </c>
      <c r="E17" s="4" t="s">
        <v>238</v>
      </c>
      <c r="F17" s="4" t="s">
        <v>239</v>
      </c>
      <c r="G17" s="4" t="s">
        <v>29</v>
      </c>
      <c r="H17" s="4" t="s">
        <v>240</v>
      </c>
    </row>
    <row r="18" spans="1:8">
      <c r="A18" s="4">
        <v>1017</v>
      </c>
      <c r="B18" s="4">
        <v>3670603324643</v>
      </c>
      <c r="C18" s="4" t="s">
        <v>241</v>
      </c>
      <c r="D18" s="4" t="s">
        <v>186</v>
      </c>
      <c r="E18" s="4" t="s">
        <v>242</v>
      </c>
      <c r="F18" s="4" t="s">
        <v>243</v>
      </c>
      <c r="G18" s="4" t="s">
        <v>178</v>
      </c>
      <c r="H18" s="4" t="s">
        <v>244</v>
      </c>
    </row>
    <row r="19" spans="1:8">
      <c r="A19" s="4">
        <v>1018</v>
      </c>
      <c r="B19" s="4">
        <v>3950707471507</v>
      </c>
      <c r="C19" s="4" t="s">
        <v>245</v>
      </c>
      <c r="D19" s="4" t="s">
        <v>170</v>
      </c>
      <c r="E19" s="4" t="s">
        <v>246</v>
      </c>
      <c r="F19" s="4" t="s">
        <v>247</v>
      </c>
      <c r="G19" s="4" t="s">
        <v>29</v>
      </c>
      <c r="H19" s="4" t="s">
        <v>248</v>
      </c>
    </row>
    <row r="20" spans="1:8">
      <c r="A20" s="4">
        <v>1019</v>
      </c>
      <c r="B20" s="4">
        <v>2901211662336</v>
      </c>
      <c r="C20" s="4" t="s">
        <v>249</v>
      </c>
      <c r="D20" s="4" t="s">
        <v>181</v>
      </c>
      <c r="E20" s="4" t="s">
        <v>250</v>
      </c>
      <c r="F20" s="4" t="s">
        <v>251</v>
      </c>
      <c r="G20" s="4" t="s">
        <v>204</v>
      </c>
      <c r="H20" s="4" t="s">
        <v>252</v>
      </c>
    </row>
    <row r="21" spans="1:8">
      <c r="A21" s="4">
        <v>1020</v>
      </c>
      <c r="B21" s="4">
        <v>2800215197793</v>
      </c>
      <c r="C21" s="4" t="s">
        <v>253</v>
      </c>
      <c r="D21" s="4" t="s">
        <v>196</v>
      </c>
      <c r="E21" s="4" t="s">
        <v>254</v>
      </c>
      <c r="F21" s="4" t="s">
        <v>255</v>
      </c>
      <c r="G21" s="4" t="s">
        <v>256</v>
      </c>
      <c r="H21" s="4" t="s">
        <v>257</v>
      </c>
    </row>
    <row r="22" spans="1:8">
      <c r="A22" s="4">
        <v>1021</v>
      </c>
      <c r="B22" s="4">
        <v>3780702378085</v>
      </c>
      <c r="C22" s="4" t="s">
        <v>258</v>
      </c>
      <c r="D22" s="4" t="s">
        <v>211</v>
      </c>
      <c r="E22" s="4" t="s">
        <v>259</v>
      </c>
      <c r="F22" s="4" t="s">
        <v>260</v>
      </c>
      <c r="G22" s="4" t="s">
        <v>261</v>
      </c>
      <c r="H22" s="4" t="s">
        <v>262</v>
      </c>
    </row>
    <row r="23" spans="1:8">
      <c r="A23" s="4">
        <v>1022</v>
      </c>
      <c r="B23" s="4">
        <v>2770507884309</v>
      </c>
      <c r="C23" s="4" t="s">
        <v>258</v>
      </c>
      <c r="D23" s="4" t="s">
        <v>206</v>
      </c>
      <c r="E23" s="4" t="s">
        <v>263</v>
      </c>
      <c r="F23" s="4" t="s">
        <v>264</v>
      </c>
      <c r="G23" s="4" t="s">
        <v>178</v>
      </c>
      <c r="H23" s="4" t="s">
        <v>265</v>
      </c>
    </row>
    <row r="24" spans="1:8">
      <c r="A24" s="4">
        <v>1023</v>
      </c>
      <c r="B24" s="4">
        <v>2980302171849</v>
      </c>
      <c r="C24" s="4" t="s">
        <v>245</v>
      </c>
      <c r="D24" s="4" t="s">
        <v>266</v>
      </c>
      <c r="E24" s="4" t="s">
        <v>267</v>
      </c>
      <c r="F24" s="4" t="s">
        <v>268</v>
      </c>
      <c r="G24" s="4" t="s">
        <v>256</v>
      </c>
      <c r="H24" s="4" t="s">
        <v>269</v>
      </c>
    </row>
    <row r="25" spans="1:8">
      <c r="A25" s="4">
        <v>1024</v>
      </c>
      <c r="B25" s="4">
        <v>3801020789305</v>
      </c>
      <c r="C25" s="4" t="s">
        <v>164</v>
      </c>
      <c r="D25" s="4" t="s">
        <v>270</v>
      </c>
      <c r="E25" s="4" t="s">
        <v>271</v>
      </c>
      <c r="F25" s="4" t="s">
        <v>272</v>
      </c>
      <c r="G25" s="4" t="s">
        <v>189</v>
      </c>
      <c r="H25" s="4" t="s">
        <v>273</v>
      </c>
    </row>
    <row r="26" spans="1:8">
      <c r="A26" s="4">
        <v>1025</v>
      </c>
      <c r="B26" s="4">
        <v>3850409579434</v>
      </c>
      <c r="C26" s="4" t="s">
        <v>180</v>
      </c>
      <c r="D26" s="4" t="s">
        <v>274</v>
      </c>
      <c r="E26" s="4" t="s">
        <v>275</v>
      </c>
      <c r="F26" s="4" t="s">
        <v>264</v>
      </c>
      <c r="G26" s="4" t="s">
        <v>230</v>
      </c>
      <c r="H26" s="4" t="s">
        <v>276</v>
      </c>
    </row>
    <row r="27" spans="1:8">
      <c r="A27" s="4">
        <v>1026</v>
      </c>
      <c r="B27" s="4">
        <v>2710218465962</v>
      </c>
      <c r="C27" s="4" t="s">
        <v>277</v>
      </c>
      <c r="D27" s="4" t="s">
        <v>270</v>
      </c>
      <c r="E27" s="4" t="s">
        <v>278</v>
      </c>
      <c r="F27" s="4" t="s">
        <v>279</v>
      </c>
      <c r="G27" s="4" t="s">
        <v>225</v>
      </c>
      <c r="H27" s="4" t="s">
        <v>280</v>
      </c>
    </row>
    <row r="28" spans="1:8">
      <c r="A28" s="4">
        <v>1027</v>
      </c>
      <c r="B28" s="4">
        <v>2991210800305</v>
      </c>
      <c r="C28" s="4" t="s">
        <v>174</v>
      </c>
      <c r="D28" s="4" t="s">
        <v>196</v>
      </c>
      <c r="E28" s="4" t="s">
        <v>281</v>
      </c>
      <c r="F28" s="4" t="s">
        <v>282</v>
      </c>
      <c r="G28" s="4" t="s">
        <v>204</v>
      </c>
      <c r="H28" s="4" t="s">
        <v>283</v>
      </c>
    </row>
    <row r="29" spans="1:8">
      <c r="A29" s="4">
        <v>1028</v>
      </c>
      <c r="B29" s="4">
        <v>2711218852470</v>
      </c>
      <c r="C29" s="4" t="s">
        <v>180</v>
      </c>
      <c r="D29" s="4" t="s">
        <v>284</v>
      </c>
      <c r="E29" s="4" t="s">
        <v>285</v>
      </c>
      <c r="F29" s="4" t="s">
        <v>286</v>
      </c>
      <c r="G29" s="4" t="s">
        <v>261</v>
      </c>
      <c r="H29" s="4" t="s">
        <v>287</v>
      </c>
    </row>
    <row r="30" spans="1:8">
      <c r="A30" s="4">
        <v>1029</v>
      </c>
      <c r="B30" s="4">
        <v>2680221449759</v>
      </c>
      <c r="C30" s="4" t="s">
        <v>258</v>
      </c>
      <c r="D30" s="4" t="s">
        <v>288</v>
      </c>
      <c r="E30" s="4" t="s">
        <v>289</v>
      </c>
      <c r="F30" s="4" t="s">
        <v>290</v>
      </c>
      <c r="G30" s="4" t="s">
        <v>204</v>
      </c>
      <c r="H30" s="4" t="s">
        <v>291</v>
      </c>
    </row>
    <row r="31" spans="1:8">
      <c r="A31" s="4">
        <v>1030</v>
      </c>
      <c r="B31" s="4">
        <v>2920901672092</v>
      </c>
      <c r="C31" s="4" t="s">
        <v>292</v>
      </c>
      <c r="D31" s="4" t="s">
        <v>293</v>
      </c>
      <c r="E31" s="4" t="s">
        <v>294</v>
      </c>
      <c r="F31" s="4" t="s">
        <v>295</v>
      </c>
      <c r="G31" s="4" t="s">
        <v>261</v>
      </c>
      <c r="H31" s="4" t="s">
        <v>296</v>
      </c>
    </row>
    <row r="32" spans="1:8">
      <c r="A32" s="4">
        <v>1031</v>
      </c>
      <c r="B32" s="4">
        <v>2730110815198</v>
      </c>
      <c r="C32" s="4" t="s">
        <v>297</v>
      </c>
      <c r="D32" s="4" t="s">
        <v>175</v>
      </c>
      <c r="E32" s="4" t="s">
        <v>298</v>
      </c>
      <c r="F32" s="4" t="s">
        <v>299</v>
      </c>
      <c r="G32" s="4" t="s">
        <v>261</v>
      </c>
      <c r="H32" s="4" t="s">
        <v>300</v>
      </c>
    </row>
    <row r="33" spans="1:8">
      <c r="A33" s="4">
        <v>1032</v>
      </c>
      <c r="B33" s="4">
        <v>2740428288073</v>
      </c>
      <c r="C33" s="4" t="s">
        <v>301</v>
      </c>
      <c r="D33" s="4" t="s">
        <v>302</v>
      </c>
      <c r="E33" s="4" t="s">
        <v>303</v>
      </c>
      <c r="F33" s="4" t="s">
        <v>304</v>
      </c>
      <c r="G33" s="4" t="s">
        <v>194</v>
      </c>
      <c r="H33" s="4" t="s">
        <v>305</v>
      </c>
    </row>
    <row r="34" spans="1:8">
      <c r="A34" s="4">
        <v>1033</v>
      </c>
      <c r="B34" s="4">
        <v>2710728956253</v>
      </c>
      <c r="C34" s="4" t="s">
        <v>253</v>
      </c>
      <c r="D34" s="4" t="s">
        <v>233</v>
      </c>
      <c r="E34" s="4" t="s">
        <v>306</v>
      </c>
      <c r="F34" s="4" t="s">
        <v>307</v>
      </c>
      <c r="G34" s="4" t="s">
        <v>194</v>
      </c>
      <c r="H34" s="4" t="s">
        <v>308</v>
      </c>
    </row>
    <row r="35" spans="1:8">
      <c r="A35" s="4">
        <v>1034</v>
      </c>
      <c r="B35" s="4">
        <v>3770711468203</v>
      </c>
      <c r="C35" s="4" t="s">
        <v>241</v>
      </c>
      <c r="D35" s="4" t="s">
        <v>18</v>
      </c>
      <c r="E35" s="4" t="s">
        <v>309</v>
      </c>
      <c r="F35" s="4" t="s">
        <v>310</v>
      </c>
      <c r="G35" s="4" t="s">
        <v>261</v>
      </c>
      <c r="H35" s="4" t="s">
        <v>311</v>
      </c>
    </row>
    <row r="36" spans="1:8">
      <c r="A36" s="4">
        <v>1035</v>
      </c>
      <c r="B36" s="4">
        <v>2720506725550</v>
      </c>
      <c r="C36" s="4" t="s">
        <v>312</v>
      </c>
      <c r="D36" s="4" t="s">
        <v>18</v>
      </c>
      <c r="E36" s="4" t="s">
        <v>313</v>
      </c>
      <c r="F36" s="4" t="s">
        <v>314</v>
      </c>
      <c r="G36" s="4" t="s">
        <v>256</v>
      </c>
      <c r="H36" s="4" t="s">
        <v>315</v>
      </c>
    </row>
    <row r="37" spans="1:8">
      <c r="A37" s="4">
        <v>1036</v>
      </c>
      <c r="B37" s="4">
        <v>3720719101773</v>
      </c>
      <c r="C37" s="4" t="s">
        <v>316</v>
      </c>
      <c r="D37" s="4" t="s">
        <v>266</v>
      </c>
      <c r="E37" s="4" t="s">
        <v>317</v>
      </c>
      <c r="F37" s="4" t="s">
        <v>318</v>
      </c>
      <c r="G37" s="4" t="s">
        <v>189</v>
      </c>
      <c r="H37" s="4" t="s">
        <v>319</v>
      </c>
    </row>
    <row r="38" spans="1:8">
      <c r="A38" s="4">
        <v>1037</v>
      </c>
      <c r="B38" s="4">
        <v>3861011631756</v>
      </c>
      <c r="C38" s="4" t="s">
        <v>320</v>
      </c>
      <c r="D38" s="4" t="s">
        <v>186</v>
      </c>
      <c r="E38" s="4" t="s">
        <v>321</v>
      </c>
      <c r="F38" s="4" t="s">
        <v>235</v>
      </c>
      <c r="G38" s="4" t="s">
        <v>256</v>
      </c>
      <c r="H38" s="4" t="s">
        <v>322</v>
      </c>
    </row>
    <row r="39" spans="1:8">
      <c r="A39" s="4">
        <v>1038</v>
      </c>
      <c r="B39" s="4">
        <v>2730414745414</v>
      </c>
      <c r="C39" s="4" t="s">
        <v>219</v>
      </c>
      <c r="D39" s="4" t="s">
        <v>293</v>
      </c>
      <c r="E39" s="4" t="s">
        <v>323</v>
      </c>
      <c r="F39" s="4" t="s">
        <v>324</v>
      </c>
      <c r="G39" s="4" t="s">
        <v>261</v>
      </c>
      <c r="H39" s="4" t="s">
        <v>325</v>
      </c>
    </row>
    <row r="40" spans="1:8">
      <c r="A40" s="4">
        <v>1039</v>
      </c>
      <c r="B40" s="4">
        <v>3830414587575</v>
      </c>
      <c r="C40" s="4" t="s">
        <v>16</v>
      </c>
      <c r="D40" s="4" t="s">
        <v>326</v>
      </c>
      <c r="E40" s="4" t="s">
        <v>327</v>
      </c>
      <c r="F40" s="4" t="s">
        <v>328</v>
      </c>
      <c r="G40" s="4" t="s">
        <v>261</v>
      </c>
      <c r="H40" s="4" t="s">
        <v>329</v>
      </c>
    </row>
    <row r="41" spans="1:8">
      <c r="A41" s="4">
        <v>1040</v>
      </c>
      <c r="B41" s="4">
        <v>3700517197923</v>
      </c>
      <c r="C41" s="4" t="s">
        <v>245</v>
      </c>
      <c r="D41" s="4" t="s">
        <v>233</v>
      </c>
      <c r="E41" s="4" t="s">
        <v>330</v>
      </c>
      <c r="F41" s="4" t="s">
        <v>331</v>
      </c>
      <c r="G41" s="4" t="s">
        <v>194</v>
      </c>
      <c r="H41" s="4" t="s">
        <v>332</v>
      </c>
    </row>
    <row r="42" spans="1:8">
      <c r="A42" s="4">
        <v>1041</v>
      </c>
      <c r="B42" s="4">
        <v>2660108577538</v>
      </c>
      <c r="C42" s="4" t="s">
        <v>185</v>
      </c>
      <c r="D42" s="4" t="s">
        <v>206</v>
      </c>
      <c r="E42" s="4" t="s">
        <v>333</v>
      </c>
      <c r="F42" s="4" t="s">
        <v>334</v>
      </c>
      <c r="G42" s="4" t="s">
        <v>256</v>
      </c>
      <c r="H42" s="4" t="s">
        <v>335</v>
      </c>
    </row>
    <row r="43" spans="1:8">
      <c r="A43" s="4">
        <v>1042</v>
      </c>
      <c r="B43" s="4">
        <v>3800321329471</v>
      </c>
      <c r="C43" s="4" t="s">
        <v>258</v>
      </c>
      <c r="D43" s="4" t="s">
        <v>201</v>
      </c>
      <c r="E43" s="4" t="s">
        <v>336</v>
      </c>
      <c r="F43" s="4" t="s">
        <v>337</v>
      </c>
      <c r="G43" s="4" t="s">
        <v>29</v>
      </c>
      <c r="H43" s="4" t="s">
        <v>338</v>
      </c>
    </row>
    <row r="44" spans="1:8">
      <c r="A44" s="4">
        <v>1043</v>
      </c>
      <c r="B44" s="4">
        <v>3720805891937</v>
      </c>
      <c r="C44" s="4" t="s">
        <v>232</v>
      </c>
      <c r="D44" s="4" t="s">
        <v>170</v>
      </c>
      <c r="E44" s="4" t="s">
        <v>339</v>
      </c>
      <c r="F44" s="4" t="s">
        <v>340</v>
      </c>
      <c r="G44" s="4" t="s">
        <v>256</v>
      </c>
      <c r="H44" s="4" t="s">
        <v>341</v>
      </c>
    </row>
    <row r="45" spans="1:8">
      <c r="A45" s="4">
        <v>1044</v>
      </c>
      <c r="B45" s="4">
        <v>2751228980660</v>
      </c>
      <c r="C45" s="4" t="s">
        <v>232</v>
      </c>
      <c r="D45" s="4" t="s">
        <v>196</v>
      </c>
      <c r="E45" s="4" t="s">
        <v>342</v>
      </c>
      <c r="F45" s="4" t="s">
        <v>343</v>
      </c>
      <c r="G45" s="4" t="s">
        <v>230</v>
      </c>
      <c r="H45" s="4" t="s">
        <v>344</v>
      </c>
    </row>
    <row r="46" spans="1:8">
      <c r="A46" s="4">
        <v>1045</v>
      </c>
      <c r="B46" s="4">
        <v>3930223435239</v>
      </c>
      <c r="C46" s="4" t="s">
        <v>227</v>
      </c>
      <c r="D46" s="4" t="s">
        <v>288</v>
      </c>
      <c r="E46" s="4" t="s">
        <v>345</v>
      </c>
      <c r="F46" s="4" t="s">
        <v>346</v>
      </c>
      <c r="G46" s="4" t="s">
        <v>204</v>
      </c>
      <c r="H46" s="4" t="s">
        <v>347</v>
      </c>
    </row>
    <row r="47" spans="1:8">
      <c r="A47" s="4">
        <v>1046</v>
      </c>
      <c r="B47" s="4">
        <v>3741207668969</v>
      </c>
      <c r="C47" s="4" t="s">
        <v>241</v>
      </c>
      <c r="D47" s="4" t="s">
        <v>201</v>
      </c>
      <c r="E47" s="4" t="s">
        <v>348</v>
      </c>
      <c r="F47" s="4" t="s">
        <v>349</v>
      </c>
      <c r="G47" s="4" t="s">
        <v>194</v>
      </c>
      <c r="H47" s="4" t="s">
        <v>350</v>
      </c>
    </row>
    <row r="48" spans="1:8">
      <c r="A48" s="4">
        <v>1047</v>
      </c>
      <c r="B48" s="4">
        <v>2021201468845</v>
      </c>
      <c r="C48" s="4" t="s">
        <v>301</v>
      </c>
      <c r="D48" s="4" t="s">
        <v>201</v>
      </c>
      <c r="E48" s="4" t="s">
        <v>351</v>
      </c>
      <c r="F48" s="4" t="s">
        <v>352</v>
      </c>
      <c r="G48" s="4" t="s">
        <v>261</v>
      </c>
      <c r="H48" s="4" t="s">
        <v>353</v>
      </c>
    </row>
    <row r="49" spans="1:8">
      <c r="A49" s="4">
        <v>1048</v>
      </c>
      <c r="B49" s="4">
        <v>2790808507746</v>
      </c>
      <c r="C49" s="4" t="s">
        <v>354</v>
      </c>
      <c r="D49" s="4" t="s">
        <v>302</v>
      </c>
      <c r="E49" s="4" t="s">
        <v>355</v>
      </c>
      <c r="F49" s="4" t="s">
        <v>356</v>
      </c>
      <c r="G49" s="4" t="s">
        <v>230</v>
      </c>
      <c r="H49" s="4" t="s">
        <v>357</v>
      </c>
    </row>
    <row r="50" spans="1:8">
      <c r="A50" s="4">
        <v>1049</v>
      </c>
      <c r="B50" s="4">
        <v>2990113188025</v>
      </c>
      <c r="C50" s="4" t="s">
        <v>358</v>
      </c>
      <c r="D50" s="4" t="s">
        <v>302</v>
      </c>
      <c r="E50" s="4" t="s">
        <v>359</v>
      </c>
      <c r="F50" s="4" t="s">
        <v>360</v>
      </c>
      <c r="G50" s="4" t="s">
        <v>230</v>
      </c>
      <c r="H50" s="4" t="s">
        <v>361</v>
      </c>
    </row>
    <row r="51" spans="1:8">
      <c r="A51" s="4">
        <v>1050</v>
      </c>
      <c r="B51" s="4">
        <v>3810711898207</v>
      </c>
      <c r="C51" s="4" t="s">
        <v>196</v>
      </c>
      <c r="D51" s="4" t="s">
        <v>181</v>
      </c>
      <c r="E51" s="4" t="s">
        <v>362</v>
      </c>
      <c r="F51" s="4" t="s">
        <v>363</v>
      </c>
      <c r="G51" s="4" t="s">
        <v>225</v>
      </c>
      <c r="H51" s="4" t="s">
        <v>364</v>
      </c>
    </row>
    <row r="52" spans="1:8">
      <c r="A52" s="4">
        <v>1051</v>
      </c>
      <c r="B52" s="4">
        <v>2661218919182</v>
      </c>
      <c r="C52" s="4" t="s">
        <v>365</v>
      </c>
      <c r="D52" s="4" t="s">
        <v>211</v>
      </c>
      <c r="E52" s="4" t="s">
        <v>366</v>
      </c>
      <c r="F52" s="4" t="s">
        <v>367</v>
      </c>
      <c r="G52" s="4" t="s">
        <v>194</v>
      </c>
      <c r="H52" s="4" t="s">
        <v>368</v>
      </c>
    </row>
    <row r="53" spans="1:8">
      <c r="A53" s="4">
        <v>1052</v>
      </c>
      <c r="B53" s="4">
        <v>2740405587623</v>
      </c>
      <c r="C53" s="4" t="s">
        <v>185</v>
      </c>
      <c r="D53" s="4" t="s">
        <v>18</v>
      </c>
      <c r="E53" s="4" t="s">
        <v>369</v>
      </c>
      <c r="F53" s="4" t="s">
        <v>370</v>
      </c>
      <c r="G53" s="4" t="s">
        <v>204</v>
      </c>
      <c r="H53" s="4" t="s">
        <v>371</v>
      </c>
    </row>
    <row r="54" spans="1:8">
      <c r="A54" s="4">
        <v>1053</v>
      </c>
      <c r="B54" s="4">
        <v>3720310703766</v>
      </c>
      <c r="C54" s="4" t="s">
        <v>316</v>
      </c>
      <c r="D54" s="4" t="s">
        <v>302</v>
      </c>
      <c r="E54" s="4" t="s">
        <v>372</v>
      </c>
      <c r="F54" s="4" t="s">
        <v>373</v>
      </c>
      <c r="G54" s="4" t="s">
        <v>194</v>
      </c>
      <c r="H54" s="4" t="s">
        <v>374</v>
      </c>
    </row>
    <row r="55" spans="1:8">
      <c r="A55" s="4">
        <v>1054</v>
      </c>
      <c r="B55" s="4">
        <v>2800223934904</v>
      </c>
      <c r="C55" s="4" t="s">
        <v>375</v>
      </c>
      <c r="D55" s="4" t="s">
        <v>270</v>
      </c>
      <c r="E55" s="4" t="s">
        <v>376</v>
      </c>
      <c r="F55" s="4" t="s">
        <v>377</v>
      </c>
      <c r="G55" s="4" t="s">
        <v>261</v>
      </c>
      <c r="H55" s="4" t="s">
        <v>378</v>
      </c>
    </row>
    <row r="56" spans="1:8">
      <c r="A56" s="4">
        <v>1055</v>
      </c>
      <c r="B56" s="4">
        <v>3690921962276</v>
      </c>
      <c r="C56" s="4" t="s">
        <v>320</v>
      </c>
      <c r="D56" s="4" t="s">
        <v>191</v>
      </c>
      <c r="E56" s="4" t="s">
        <v>379</v>
      </c>
      <c r="F56" s="4" t="s">
        <v>380</v>
      </c>
      <c r="G56" s="4" t="s">
        <v>189</v>
      </c>
      <c r="H56" s="4" t="s">
        <v>381</v>
      </c>
    </row>
    <row r="57" spans="1:8">
      <c r="A57" s="4">
        <v>1056</v>
      </c>
      <c r="B57" s="4">
        <v>3920324587455</v>
      </c>
      <c r="C57" s="4" t="s">
        <v>382</v>
      </c>
      <c r="D57" s="4" t="s">
        <v>206</v>
      </c>
      <c r="E57" s="4" t="s">
        <v>383</v>
      </c>
      <c r="F57" s="4" t="s">
        <v>384</v>
      </c>
      <c r="G57" s="4" t="s">
        <v>189</v>
      </c>
      <c r="H57" s="4" t="s">
        <v>385</v>
      </c>
    </row>
    <row r="58" spans="1:8">
      <c r="A58" s="4">
        <v>1057</v>
      </c>
      <c r="B58" s="4">
        <v>3820808452737</v>
      </c>
      <c r="C58" s="4" t="s">
        <v>227</v>
      </c>
      <c r="D58" s="4" t="s">
        <v>186</v>
      </c>
      <c r="E58" s="4" t="s">
        <v>386</v>
      </c>
      <c r="F58" s="4" t="s">
        <v>387</v>
      </c>
      <c r="G58" s="4" t="s">
        <v>204</v>
      </c>
      <c r="H58" s="4" t="s">
        <v>388</v>
      </c>
    </row>
    <row r="59" spans="1:8">
      <c r="A59" s="4">
        <v>1058</v>
      </c>
      <c r="B59" s="4">
        <v>3870511682789</v>
      </c>
      <c r="C59" s="4" t="s">
        <v>258</v>
      </c>
      <c r="D59" s="4" t="s">
        <v>274</v>
      </c>
      <c r="E59" s="4" t="s">
        <v>389</v>
      </c>
      <c r="F59" s="4" t="s">
        <v>390</v>
      </c>
      <c r="G59" s="4" t="s">
        <v>167</v>
      </c>
      <c r="H59" s="4" t="s">
        <v>391</v>
      </c>
    </row>
    <row r="60" spans="1:8">
      <c r="A60" s="4">
        <v>1059</v>
      </c>
      <c r="B60" s="4">
        <v>3960925569945</v>
      </c>
      <c r="C60" s="4" t="s">
        <v>227</v>
      </c>
      <c r="D60" s="4" t="s">
        <v>175</v>
      </c>
      <c r="E60" s="4" t="s">
        <v>392</v>
      </c>
      <c r="F60" s="4" t="s">
        <v>393</v>
      </c>
      <c r="G60" s="4" t="s">
        <v>194</v>
      </c>
      <c r="H60" s="4" t="s">
        <v>394</v>
      </c>
    </row>
    <row r="61" spans="1:8">
      <c r="A61" s="4">
        <v>1060</v>
      </c>
      <c r="B61" s="4">
        <v>3841119546173</v>
      </c>
      <c r="C61" s="4" t="s">
        <v>395</v>
      </c>
      <c r="D61" s="4" t="s">
        <v>170</v>
      </c>
      <c r="E61" s="4" t="s">
        <v>396</v>
      </c>
      <c r="F61" s="4" t="s">
        <v>397</v>
      </c>
      <c r="G61" s="4" t="s">
        <v>189</v>
      </c>
      <c r="H61" s="4" t="s">
        <v>398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Normal="100" workbookViewId="0">
      <pane ySplit="1" topLeftCell="A2" activePane="bottomLeft" state="frozen"/>
      <selection activeCell="A55" sqref="A55"/>
      <selection pane="bottomLeft" activeCell="A55" sqref="A55"/>
    </sheetView>
  </sheetViews>
  <sheetFormatPr defaultColWidth="8.68359375" defaultRowHeight="14.4"/>
  <cols>
    <col min="1" max="1" width="14" customWidth="1"/>
    <col min="2" max="3" width="15" customWidth="1"/>
    <col min="4" max="4" width="20" customWidth="1"/>
  </cols>
  <sheetData>
    <row r="1" spans="1:4">
      <c r="A1" s="3" t="s">
        <v>34</v>
      </c>
      <c r="B1" s="3" t="s">
        <v>36</v>
      </c>
      <c r="C1" s="3" t="s">
        <v>38</v>
      </c>
      <c r="D1" s="3" t="s">
        <v>42</v>
      </c>
    </row>
    <row r="2" spans="1:4">
      <c r="A2" s="4">
        <v>1</v>
      </c>
      <c r="B2" s="4" t="s">
        <v>37</v>
      </c>
      <c r="C2" s="4" t="s">
        <v>41</v>
      </c>
      <c r="D2" s="4" t="b">
        <f>TRUE()</f>
        <v>1</v>
      </c>
    </row>
    <row r="3" spans="1:4">
      <c r="A3" s="4">
        <v>2</v>
      </c>
      <c r="B3" s="4" t="s">
        <v>399</v>
      </c>
      <c r="C3" s="4" t="s">
        <v>41</v>
      </c>
      <c r="D3" s="4" t="b">
        <f>TRUE()</f>
        <v>1</v>
      </c>
    </row>
    <row r="4" spans="1:4">
      <c r="A4" s="4">
        <v>3</v>
      </c>
      <c r="B4" s="4" t="s">
        <v>29</v>
      </c>
      <c r="C4" s="4" t="s">
        <v>41</v>
      </c>
      <c r="D4" s="4" t="b">
        <f>TRUE()</f>
        <v>1</v>
      </c>
    </row>
    <row r="5" spans="1:4">
      <c r="A5" s="4">
        <v>4</v>
      </c>
      <c r="B5" s="4" t="s">
        <v>400</v>
      </c>
      <c r="C5" s="4" t="s">
        <v>41</v>
      </c>
      <c r="D5" s="4" t="b">
        <f>TRUE()</f>
        <v>1</v>
      </c>
    </row>
    <row r="6" spans="1:4">
      <c r="A6" s="4">
        <v>5</v>
      </c>
      <c r="B6" s="4" t="s">
        <v>401</v>
      </c>
      <c r="C6" s="4" t="s">
        <v>41</v>
      </c>
      <c r="D6" s="4" t="b">
        <f>TRUE()</f>
        <v>1</v>
      </c>
    </row>
    <row r="7" spans="1:4">
      <c r="A7" s="4">
        <v>6</v>
      </c>
      <c r="B7" s="4" t="s">
        <v>402</v>
      </c>
      <c r="C7" s="4" t="s">
        <v>41</v>
      </c>
      <c r="D7" s="4" t="b">
        <f>TRUE()</f>
        <v>1</v>
      </c>
    </row>
    <row r="8" spans="1:4">
      <c r="A8" s="4">
        <v>7</v>
      </c>
      <c r="B8" s="4" t="s">
        <v>403</v>
      </c>
      <c r="C8" s="4" t="s">
        <v>41</v>
      </c>
      <c r="D8" s="4" t="b">
        <f>TRUE()</f>
        <v>1</v>
      </c>
    </row>
    <row r="9" spans="1:4">
      <c r="A9" s="4">
        <v>8</v>
      </c>
      <c r="B9" s="4" t="s">
        <v>404</v>
      </c>
      <c r="C9" s="4" t="s">
        <v>41</v>
      </c>
      <c r="D9" s="4" t="b">
        <f>TRUE()</f>
        <v>1</v>
      </c>
    </row>
    <row r="10" spans="1:4">
      <c r="A10" s="4">
        <v>9</v>
      </c>
      <c r="B10" s="4" t="s">
        <v>405</v>
      </c>
      <c r="C10" s="4" t="s">
        <v>41</v>
      </c>
      <c r="D10" s="4" t="b">
        <f>TRUE()</f>
        <v>1</v>
      </c>
    </row>
    <row r="11" spans="1:4">
      <c r="A11" s="4">
        <v>10</v>
      </c>
      <c r="B11" s="4" t="s">
        <v>406</v>
      </c>
      <c r="C11" s="4" t="s">
        <v>41</v>
      </c>
      <c r="D11" s="4" t="b">
        <f>TRUE()</f>
        <v>1</v>
      </c>
    </row>
    <row r="12" spans="1:4">
      <c r="A12" s="4">
        <v>11</v>
      </c>
      <c r="B12" s="4" t="s">
        <v>407</v>
      </c>
      <c r="C12" s="4" t="s">
        <v>408</v>
      </c>
      <c r="D12" s="4" t="b">
        <f>TRUE()</f>
        <v>1</v>
      </c>
    </row>
    <row r="13" spans="1:4">
      <c r="A13" s="4">
        <v>12</v>
      </c>
      <c r="B13" s="4" t="s">
        <v>409</v>
      </c>
      <c r="C13" s="4" t="s">
        <v>408</v>
      </c>
      <c r="D13" s="4" t="b">
        <f>TRUE()</f>
        <v>1</v>
      </c>
    </row>
    <row r="14" spans="1:4">
      <c r="A14" s="4">
        <v>13</v>
      </c>
      <c r="B14" s="4" t="s">
        <v>410</v>
      </c>
      <c r="C14" s="4" t="s">
        <v>408</v>
      </c>
      <c r="D14" s="4" t="b">
        <f>TRUE()</f>
        <v>1</v>
      </c>
    </row>
    <row r="15" spans="1:4">
      <c r="A15" s="4">
        <v>14</v>
      </c>
      <c r="B15" s="4" t="s">
        <v>411</v>
      </c>
      <c r="C15" s="4" t="s">
        <v>408</v>
      </c>
      <c r="D15" s="4" t="b">
        <f>TRUE()</f>
        <v>1</v>
      </c>
    </row>
    <row r="16" spans="1:4">
      <c r="A16" s="4">
        <v>15</v>
      </c>
      <c r="B16" s="4" t="s">
        <v>412</v>
      </c>
      <c r="C16" s="4" t="s">
        <v>408</v>
      </c>
      <c r="D16" s="4" t="b">
        <f>TRUE()</f>
        <v>1</v>
      </c>
    </row>
    <row r="17" spans="1:4">
      <c r="A17" s="4">
        <v>16</v>
      </c>
      <c r="B17" s="4" t="s">
        <v>413</v>
      </c>
      <c r="C17" s="4" t="s">
        <v>414</v>
      </c>
      <c r="D17" s="4" t="b">
        <f>TRUE()</f>
        <v>1</v>
      </c>
    </row>
    <row r="18" spans="1:4">
      <c r="A18" s="4">
        <v>17</v>
      </c>
      <c r="B18" s="4" t="s">
        <v>415</v>
      </c>
      <c r="C18" s="4" t="s">
        <v>414</v>
      </c>
      <c r="D18" s="4" t="b">
        <f>TRUE()</f>
        <v>1</v>
      </c>
    </row>
    <row r="19" spans="1:4">
      <c r="A19" s="4">
        <v>18</v>
      </c>
      <c r="B19" s="4" t="s">
        <v>416</v>
      </c>
      <c r="C19" s="4" t="s">
        <v>414</v>
      </c>
      <c r="D19" s="4" t="b">
        <f>TRUE()</f>
        <v>1</v>
      </c>
    </row>
    <row r="20" spans="1:4">
      <c r="A20" s="4">
        <v>19</v>
      </c>
      <c r="B20" s="4" t="s">
        <v>417</v>
      </c>
      <c r="C20" s="4" t="s">
        <v>418</v>
      </c>
      <c r="D20" s="4" t="b">
        <f>FALSE()</f>
        <v>0</v>
      </c>
    </row>
    <row r="21" spans="1:4">
      <c r="A21" s="4">
        <v>20</v>
      </c>
      <c r="B21" s="4" t="s">
        <v>419</v>
      </c>
      <c r="C21" s="4" t="s">
        <v>418</v>
      </c>
      <c r="D21" s="4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zoomScaleNormal="100" workbookViewId="0">
      <pane ySplit="1" topLeftCell="A2" activePane="bottomLeft" state="frozen"/>
      <selection activeCell="A55" sqref="A55"/>
      <selection pane="bottomLeft" activeCell="A55" sqref="A55"/>
    </sheetView>
  </sheetViews>
  <sheetFormatPr defaultColWidth="8.68359375" defaultRowHeight="14.4"/>
  <cols>
    <col min="1" max="2" width="14" customWidth="1"/>
    <col min="3" max="3" width="15" customWidth="1"/>
    <col min="4" max="4" width="16" customWidth="1"/>
    <col min="5" max="9" width="14" customWidth="1"/>
    <col min="10" max="10" width="23" customWidth="1"/>
  </cols>
  <sheetData>
    <row r="1" spans="1:10">
      <c r="A1" s="3" t="s">
        <v>47</v>
      </c>
      <c r="B1" s="3" t="s">
        <v>50</v>
      </c>
      <c r="C1" s="3" t="s">
        <v>52</v>
      </c>
      <c r="D1" s="3" t="s">
        <v>55</v>
      </c>
      <c r="E1" s="3" t="s">
        <v>59</v>
      </c>
      <c r="F1" s="3" t="s">
        <v>62</v>
      </c>
      <c r="G1" s="3" t="s">
        <v>64</v>
      </c>
      <c r="H1" s="3" t="s">
        <v>67</v>
      </c>
      <c r="I1" s="3" t="s">
        <v>69</v>
      </c>
      <c r="J1" s="3" t="s">
        <v>71</v>
      </c>
    </row>
    <row r="2" spans="1:10">
      <c r="A2" s="4">
        <v>20240101</v>
      </c>
      <c r="B2" s="4" t="s">
        <v>420</v>
      </c>
      <c r="C2" s="4" t="s">
        <v>421</v>
      </c>
      <c r="D2" s="4">
        <v>1</v>
      </c>
      <c r="E2" s="4">
        <v>1</v>
      </c>
      <c r="F2" s="4" t="s">
        <v>422</v>
      </c>
      <c r="G2" s="4">
        <v>1</v>
      </c>
      <c r="H2" s="4">
        <v>2024</v>
      </c>
      <c r="I2" s="4" t="b">
        <f>FALSE()</f>
        <v>0</v>
      </c>
      <c r="J2" s="4" t="b">
        <f>TRUE()</f>
        <v>1</v>
      </c>
    </row>
    <row r="3" spans="1:10">
      <c r="A3" s="4">
        <v>20240102</v>
      </c>
      <c r="B3" s="4" t="s">
        <v>423</v>
      </c>
      <c r="C3" s="4" t="s">
        <v>424</v>
      </c>
      <c r="D3" s="4">
        <v>2</v>
      </c>
      <c r="E3" s="4">
        <v>1</v>
      </c>
      <c r="F3" s="4" t="s">
        <v>422</v>
      </c>
      <c r="G3" s="4">
        <v>1</v>
      </c>
      <c r="H3" s="4">
        <v>2024</v>
      </c>
      <c r="I3" s="4" t="b">
        <f>FALSE()</f>
        <v>0</v>
      </c>
      <c r="J3" s="4" t="b">
        <f>FALSE()</f>
        <v>0</v>
      </c>
    </row>
    <row r="4" spans="1:10">
      <c r="A4" s="4">
        <v>20240103</v>
      </c>
      <c r="B4" s="4" t="s">
        <v>425</v>
      </c>
      <c r="C4" s="4" t="s">
        <v>426</v>
      </c>
      <c r="D4" s="4">
        <v>3</v>
      </c>
      <c r="E4" s="4">
        <v>1</v>
      </c>
      <c r="F4" s="4" t="s">
        <v>422</v>
      </c>
      <c r="G4" s="4">
        <v>1</v>
      </c>
      <c r="H4" s="4">
        <v>2024</v>
      </c>
      <c r="I4" s="4" t="b">
        <f>FALSE()</f>
        <v>0</v>
      </c>
      <c r="J4" s="4" t="b">
        <f>TRUE()</f>
        <v>1</v>
      </c>
    </row>
    <row r="5" spans="1:10">
      <c r="A5" s="4">
        <v>20240104</v>
      </c>
      <c r="B5" s="4" t="s">
        <v>427</v>
      </c>
      <c r="C5" s="4" t="s">
        <v>428</v>
      </c>
      <c r="D5" s="4">
        <v>4</v>
      </c>
      <c r="E5" s="4">
        <v>1</v>
      </c>
      <c r="F5" s="4" t="s">
        <v>422</v>
      </c>
      <c r="G5" s="4">
        <v>1</v>
      </c>
      <c r="H5" s="4">
        <v>2024</v>
      </c>
      <c r="I5" s="4" t="b">
        <f>FALSE()</f>
        <v>0</v>
      </c>
      <c r="J5" s="4" t="b">
        <f>FALSE()</f>
        <v>0</v>
      </c>
    </row>
    <row r="6" spans="1:10">
      <c r="A6" s="4">
        <v>20240105</v>
      </c>
      <c r="B6" s="4" t="s">
        <v>429</v>
      </c>
      <c r="C6" s="4" t="s">
        <v>430</v>
      </c>
      <c r="D6" s="4">
        <v>5</v>
      </c>
      <c r="E6" s="4">
        <v>1</v>
      </c>
      <c r="F6" s="4" t="s">
        <v>422</v>
      </c>
      <c r="G6" s="4">
        <v>1</v>
      </c>
      <c r="H6" s="4">
        <v>2024</v>
      </c>
      <c r="I6" s="4" t="b">
        <f>FALSE()</f>
        <v>0</v>
      </c>
      <c r="J6" s="4" t="b">
        <f>FALSE()</f>
        <v>0</v>
      </c>
    </row>
    <row r="7" spans="1:10">
      <c r="A7" s="4">
        <v>20240106</v>
      </c>
      <c r="B7" s="4" t="s">
        <v>431</v>
      </c>
      <c r="C7" s="4" t="s">
        <v>432</v>
      </c>
      <c r="D7" s="4">
        <v>6</v>
      </c>
      <c r="E7" s="4">
        <v>1</v>
      </c>
      <c r="F7" s="4" t="s">
        <v>422</v>
      </c>
      <c r="G7" s="4">
        <v>1</v>
      </c>
      <c r="H7" s="4">
        <v>2024</v>
      </c>
      <c r="I7" s="4" t="b">
        <f>TRUE()</f>
        <v>1</v>
      </c>
      <c r="J7" s="4" t="b">
        <f>FALSE()</f>
        <v>0</v>
      </c>
    </row>
    <row r="8" spans="1:10">
      <c r="A8" s="4">
        <v>20240107</v>
      </c>
      <c r="B8" s="4" t="s">
        <v>433</v>
      </c>
      <c r="C8" s="4" t="s">
        <v>54</v>
      </c>
      <c r="D8" s="4">
        <v>7</v>
      </c>
      <c r="E8" s="4">
        <v>1</v>
      </c>
      <c r="F8" s="4" t="s">
        <v>422</v>
      </c>
      <c r="G8" s="4">
        <v>1</v>
      </c>
      <c r="H8" s="4">
        <v>2024</v>
      </c>
      <c r="I8" s="4" t="b">
        <f>TRUE()</f>
        <v>1</v>
      </c>
      <c r="J8" s="4" t="b">
        <f>TRUE()</f>
        <v>1</v>
      </c>
    </row>
    <row r="9" spans="1:10">
      <c r="A9" s="4">
        <v>20240108</v>
      </c>
      <c r="B9" s="4" t="s">
        <v>434</v>
      </c>
      <c r="C9" s="4" t="s">
        <v>421</v>
      </c>
      <c r="D9" s="4">
        <v>8</v>
      </c>
      <c r="E9" s="4">
        <v>1</v>
      </c>
      <c r="F9" s="4" t="s">
        <v>422</v>
      </c>
      <c r="G9" s="4">
        <v>1</v>
      </c>
      <c r="H9" s="4">
        <v>2024</v>
      </c>
      <c r="I9" s="4" t="b">
        <f>FALSE()</f>
        <v>0</v>
      </c>
      <c r="J9" s="4" t="b">
        <f>TRUE()</f>
        <v>1</v>
      </c>
    </row>
    <row r="10" spans="1:10">
      <c r="A10" s="4">
        <v>20240109</v>
      </c>
      <c r="B10" s="4" t="s">
        <v>435</v>
      </c>
      <c r="C10" s="4" t="s">
        <v>424</v>
      </c>
      <c r="D10" s="4">
        <v>9</v>
      </c>
      <c r="E10" s="4">
        <v>1</v>
      </c>
      <c r="F10" s="4" t="s">
        <v>422</v>
      </c>
      <c r="G10" s="4">
        <v>1</v>
      </c>
      <c r="H10" s="4">
        <v>2024</v>
      </c>
      <c r="I10" s="4" t="b">
        <f>FALSE()</f>
        <v>0</v>
      </c>
      <c r="J10" s="4" t="b">
        <f>FALSE()</f>
        <v>0</v>
      </c>
    </row>
    <row r="11" spans="1:10">
      <c r="A11" s="4">
        <v>20240110</v>
      </c>
      <c r="B11" s="4" t="s">
        <v>436</v>
      </c>
      <c r="C11" s="4" t="s">
        <v>426</v>
      </c>
      <c r="D11" s="4">
        <v>10</v>
      </c>
      <c r="E11" s="4">
        <v>1</v>
      </c>
      <c r="F11" s="4" t="s">
        <v>422</v>
      </c>
      <c r="G11" s="4">
        <v>1</v>
      </c>
      <c r="H11" s="4">
        <v>2024</v>
      </c>
      <c r="I11" s="4" t="b">
        <f>FALSE()</f>
        <v>0</v>
      </c>
      <c r="J11" s="4" t="b">
        <f>TRUE()</f>
        <v>1</v>
      </c>
    </row>
    <row r="12" spans="1:10">
      <c r="A12" s="4">
        <v>20240111</v>
      </c>
      <c r="B12" s="4" t="s">
        <v>437</v>
      </c>
      <c r="C12" s="4" t="s">
        <v>428</v>
      </c>
      <c r="D12" s="4">
        <v>11</v>
      </c>
      <c r="E12" s="4">
        <v>1</v>
      </c>
      <c r="F12" s="4" t="s">
        <v>422</v>
      </c>
      <c r="G12" s="4">
        <v>1</v>
      </c>
      <c r="H12" s="4">
        <v>2024</v>
      </c>
      <c r="I12" s="4" t="b">
        <f>FALSE()</f>
        <v>0</v>
      </c>
      <c r="J12" s="4" t="b">
        <f>FALSE()</f>
        <v>0</v>
      </c>
    </row>
    <row r="13" spans="1:10">
      <c r="A13" s="4">
        <v>20240112</v>
      </c>
      <c r="B13" s="4" t="s">
        <v>438</v>
      </c>
      <c r="C13" s="4" t="s">
        <v>430</v>
      </c>
      <c r="D13" s="4">
        <v>12</v>
      </c>
      <c r="E13" s="4">
        <v>1</v>
      </c>
      <c r="F13" s="4" t="s">
        <v>422</v>
      </c>
      <c r="G13" s="4">
        <v>1</v>
      </c>
      <c r="H13" s="4">
        <v>2024</v>
      </c>
      <c r="I13" s="4" t="b">
        <f>FALSE()</f>
        <v>0</v>
      </c>
      <c r="J13" s="4" t="b">
        <f>FALSE()</f>
        <v>0</v>
      </c>
    </row>
    <row r="14" spans="1:10">
      <c r="A14" s="4">
        <v>20240113</v>
      </c>
      <c r="B14" s="4" t="s">
        <v>439</v>
      </c>
      <c r="C14" s="4" t="s">
        <v>432</v>
      </c>
      <c r="D14" s="4">
        <v>13</v>
      </c>
      <c r="E14" s="4">
        <v>1</v>
      </c>
      <c r="F14" s="4" t="s">
        <v>422</v>
      </c>
      <c r="G14" s="4">
        <v>1</v>
      </c>
      <c r="H14" s="4">
        <v>2024</v>
      </c>
      <c r="I14" s="4" t="b">
        <f>TRUE()</f>
        <v>1</v>
      </c>
      <c r="J14" s="4" t="b">
        <f>FALSE()</f>
        <v>0</v>
      </c>
    </row>
    <row r="15" spans="1:10">
      <c r="A15" s="4">
        <v>20240114</v>
      </c>
      <c r="B15" s="4" t="s">
        <v>440</v>
      </c>
      <c r="C15" s="4" t="s">
        <v>54</v>
      </c>
      <c r="D15" s="4">
        <v>14</v>
      </c>
      <c r="E15" s="4">
        <v>1</v>
      </c>
      <c r="F15" s="4" t="s">
        <v>422</v>
      </c>
      <c r="G15" s="4">
        <v>1</v>
      </c>
      <c r="H15" s="4">
        <v>2024</v>
      </c>
      <c r="I15" s="4" t="b">
        <f>TRUE()</f>
        <v>1</v>
      </c>
      <c r="J15" s="4" t="b">
        <f>TRUE()</f>
        <v>1</v>
      </c>
    </row>
    <row r="16" spans="1:10">
      <c r="A16" s="4">
        <v>20240115</v>
      </c>
      <c r="B16" s="4" t="s">
        <v>441</v>
      </c>
      <c r="C16" s="4" t="s">
        <v>421</v>
      </c>
      <c r="D16" s="4">
        <v>15</v>
      </c>
      <c r="E16" s="4">
        <v>1</v>
      </c>
      <c r="F16" s="4" t="s">
        <v>422</v>
      </c>
      <c r="G16" s="4">
        <v>1</v>
      </c>
      <c r="H16" s="4">
        <v>2024</v>
      </c>
      <c r="I16" s="4" t="b">
        <f>FALSE()</f>
        <v>0</v>
      </c>
      <c r="J16" s="4" t="b">
        <f>TRUE()</f>
        <v>1</v>
      </c>
    </row>
    <row r="17" spans="1:10">
      <c r="A17" s="4">
        <v>20240116</v>
      </c>
      <c r="B17" s="4" t="s">
        <v>442</v>
      </c>
      <c r="C17" s="4" t="s">
        <v>424</v>
      </c>
      <c r="D17" s="4">
        <v>16</v>
      </c>
      <c r="E17" s="4">
        <v>1</v>
      </c>
      <c r="F17" s="4" t="s">
        <v>422</v>
      </c>
      <c r="G17" s="4">
        <v>1</v>
      </c>
      <c r="H17" s="4">
        <v>2024</v>
      </c>
      <c r="I17" s="4" t="b">
        <f>FALSE()</f>
        <v>0</v>
      </c>
      <c r="J17" s="4" t="b">
        <f>FALSE()</f>
        <v>0</v>
      </c>
    </row>
    <row r="18" spans="1:10">
      <c r="A18" s="4">
        <v>20240117</v>
      </c>
      <c r="B18" s="4" t="s">
        <v>443</v>
      </c>
      <c r="C18" s="4" t="s">
        <v>426</v>
      </c>
      <c r="D18" s="4">
        <v>17</v>
      </c>
      <c r="E18" s="4">
        <v>1</v>
      </c>
      <c r="F18" s="4" t="s">
        <v>422</v>
      </c>
      <c r="G18" s="4">
        <v>1</v>
      </c>
      <c r="H18" s="4">
        <v>2024</v>
      </c>
      <c r="I18" s="4" t="b">
        <f>FALSE()</f>
        <v>0</v>
      </c>
      <c r="J18" s="4" t="b">
        <f>TRUE()</f>
        <v>1</v>
      </c>
    </row>
    <row r="19" spans="1:10">
      <c r="A19" s="4">
        <v>20240118</v>
      </c>
      <c r="B19" s="4" t="s">
        <v>444</v>
      </c>
      <c r="C19" s="4" t="s">
        <v>428</v>
      </c>
      <c r="D19" s="4">
        <v>18</v>
      </c>
      <c r="E19" s="4">
        <v>1</v>
      </c>
      <c r="F19" s="4" t="s">
        <v>422</v>
      </c>
      <c r="G19" s="4">
        <v>1</v>
      </c>
      <c r="H19" s="4">
        <v>2024</v>
      </c>
      <c r="I19" s="4" t="b">
        <f>FALSE()</f>
        <v>0</v>
      </c>
      <c r="J19" s="4" t="b">
        <f>FALSE()</f>
        <v>0</v>
      </c>
    </row>
    <row r="20" spans="1:10">
      <c r="A20" s="4">
        <v>20240119</v>
      </c>
      <c r="B20" s="4" t="s">
        <v>445</v>
      </c>
      <c r="C20" s="4" t="s">
        <v>430</v>
      </c>
      <c r="D20" s="4">
        <v>19</v>
      </c>
      <c r="E20" s="4">
        <v>1</v>
      </c>
      <c r="F20" s="4" t="s">
        <v>422</v>
      </c>
      <c r="G20" s="4">
        <v>1</v>
      </c>
      <c r="H20" s="4">
        <v>2024</v>
      </c>
      <c r="I20" s="4" t="b">
        <f>FALSE()</f>
        <v>0</v>
      </c>
      <c r="J20" s="4" t="b">
        <f>FALSE()</f>
        <v>0</v>
      </c>
    </row>
    <row r="21" spans="1:10">
      <c r="A21" s="4">
        <v>20240120</v>
      </c>
      <c r="B21" s="4" t="s">
        <v>446</v>
      </c>
      <c r="C21" s="4" t="s">
        <v>432</v>
      </c>
      <c r="D21" s="4">
        <v>20</v>
      </c>
      <c r="E21" s="4">
        <v>1</v>
      </c>
      <c r="F21" s="4" t="s">
        <v>422</v>
      </c>
      <c r="G21" s="4">
        <v>1</v>
      </c>
      <c r="H21" s="4">
        <v>2024</v>
      </c>
      <c r="I21" s="4" t="b">
        <f>TRUE()</f>
        <v>1</v>
      </c>
      <c r="J21" s="4" t="b">
        <f>FALSE()</f>
        <v>0</v>
      </c>
    </row>
    <row r="22" spans="1:10">
      <c r="A22" s="4">
        <v>20240121</v>
      </c>
      <c r="B22" s="4" t="s">
        <v>447</v>
      </c>
      <c r="C22" s="4" t="s">
        <v>54</v>
      </c>
      <c r="D22" s="4">
        <v>21</v>
      </c>
      <c r="E22" s="4">
        <v>1</v>
      </c>
      <c r="F22" s="4" t="s">
        <v>422</v>
      </c>
      <c r="G22" s="4">
        <v>1</v>
      </c>
      <c r="H22" s="4">
        <v>2024</v>
      </c>
      <c r="I22" s="4" t="b">
        <f>TRUE()</f>
        <v>1</v>
      </c>
      <c r="J22" s="4" t="b">
        <f>TRUE()</f>
        <v>1</v>
      </c>
    </row>
    <row r="23" spans="1:10">
      <c r="A23" s="4">
        <v>20240122</v>
      </c>
      <c r="B23" s="4" t="s">
        <v>448</v>
      </c>
      <c r="C23" s="4" t="s">
        <v>421</v>
      </c>
      <c r="D23" s="4">
        <v>22</v>
      </c>
      <c r="E23" s="4">
        <v>1</v>
      </c>
      <c r="F23" s="4" t="s">
        <v>422</v>
      </c>
      <c r="G23" s="4">
        <v>1</v>
      </c>
      <c r="H23" s="4">
        <v>2024</v>
      </c>
      <c r="I23" s="4" t="b">
        <f>FALSE()</f>
        <v>0</v>
      </c>
      <c r="J23" s="4" t="b">
        <f>TRUE()</f>
        <v>1</v>
      </c>
    </row>
    <row r="24" spans="1:10">
      <c r="A24" s="4">
        <v>20240123</v>
      </c>
      <c r="B24" s="4" t="s">
        <v>449</v>
      </c>
      <c r="C24" s="4" t="s">
        <v>424</v>
      </c>
      <c r="D24" s="4">
        <v>23</v>
      </c>
      <c r="E24" s="4">
        <v>1</v>
      </c>
      <c r="F24" s="4" t="s">
        <v>422</v>
      </c>
      <c r="G24" s="4">
        <v>1</v>
      </c>
      <c r="H24" s="4">
        <v>2024</v>
      </c>
      <c r="I24" s="4" t="b">
        <f>FALSE()</f>
        <v>0</v>
      </c>
      <c r="J24" s="4" t="b">
        <f>FALSE()</f>
        <v>0</v>
      </c>
    </row>
    <row r="25" spans="1:10">
      <c r="A25" s="4">
        <v>20240124</v>
      </c>
      <c r="B25" s="4" t="s">
        <v>450</v>
      </c>
      <c r="C25" s="4" t="s">
        <v>426</v>
      </c>
      <c r="D25" s="4">
        <v>24</v>
      </c>
      <c r="E25" s="4">
        <v>1</v>
      </c>
      <c r="F25" s="4" t="s">
        <v>422</v>
      </c>
      <c r="G25" s="4">
        <v>1</v>
      </c>
      <c r="H25" s="4">
        <v>2024</v>
      </c>
      <c r="I25" s="4" t="b">
        <f>FALSE()</f>
        <v>0</v>
      </c>
      <c r="J25" s="4" t="b">
        <f>TRUE()</f>
        <v>1</v>
      </c>
    </row>
    <row r="26" spans="1:10">
      <c r="A26" s="4">
        <v>20240125</v>
      </c>
      <c r="B26" s="4" t="s">
        <v>451</v>
      </c>
      <c r="C26" s="4" t="s">
        <v>428</v>
      </c>
      <c r="D26" s="4">
        <v>25</v>
      </c>
      <c r="E26" s="4">
        <v>1</v>
      </c>
      <c r="F26" s="4" t="s">
        <v>422</v>
      </c>
      <c r="G26" s="4">
        <v>1</v>
      </c>
      <c r="H26" s="4">
        <v>2024</v>
      </c>
      <c r="I26" s="4" t="b">
        <f>FALSE()</f>
        <v>0</v>
      </c>
      <c r="J26" s="4" t="b">
        <f>FALSE()</f>
        <v>0</v>
      </c>
    </row>
    <row r="27" spans="1:10">
      <c r="A27" s="4">
        <v>20240126</v>
      </c>
      <c r="B27" s="4" t="s">
        <v>452</v>
      </c>
      <c r="C27" s="4" t="s">
        <v>430</v>
      </c>
      <c r="D27" s="4">
        <v>26</v>
      </c>
      <c r="E27" s="4">
        <v>1</v>
      </c>
      <c r="F27" s="4" t="s">
        <v>422</v>
      </c>
      <c r="G27" s="4">
        <v>1</v>
      </c>
      <c r="H27" s="4">
        <v>2024</v>
      </c>
      <c r="I27" s="4" t="b">
        <f>FALSE()</f>
        <v>0</v>
      </c>
      <c r="J27" s="4" t="b">
        <f>FALSE()</f>
        <v>0</v>
      </c>
    </row>
    <row r="28" spans="1:10">
      <c r="A28" s="4">
        <v>20240127</v>
      </c>
      <c r="B28" s="4" t="s">
        <v>453</v>
      </c>
      <c r="C28" s="4" t="s">
        <v>432</v>
      </c>
      <c r="D28" s="4">
        <v>27</v>
      </c>
      <c r="E28" s="4">
        <v>1</v>
      </c>
      <c r="F28" s="4" t="s">
        <v>422</v>
      </c>
      <c r="G28" s="4">
        <v>1</v>
      </c>
      <c r="H28" s="4">
        <v>2024</v>
      </c>
      <c r="I28" s="4" t="b">
        <f>TRUE()</f>
        <v>1</v>
      </c>
      <c r="J28" s="4" t="b">
        <f>FALSE()</f>
        <v>0</v>
      </c>
    </row>
    <row r="29" spans="1:10">
      <c r="A29" s="4">
        <v>20240128</v>
      </c>
      <c r="B29" s="4" t="s">
        <v>454</v>
      </c>
      <c r="C29" s="4" t="s">
        <v>54</v>
      </c>
      <c r="D29" s="4">
        <v>28</v>
      </c>
      <c r="E29" s="4">
        <v>1</v>
      </c>
      <c r="F29" s="4" t="s">
        <v>422</v>
      </c>
      <c r="G29" s="4">
        <v>1</v>
      </c>
      <c r="H29" s="4">
        <v>2024</v>
      </c>
      <c r="I29" s="4" t="b">
        <f>TRUE()</f>
        <v>1</v>
      </c>
      <c r="J29" s="4" t="b">
        <f>TRUE()</f>
        <v>1</v>
      </c>
    </row>
    <row r="30" spans="1:10">
      <c r="A30" s="4">
        <v>20240129</v>
      </c>
      <c r="B30" s="4" t="s">
        <v>455</v>
      </c>
      <c r="C30" s="4" t="s">
        <v>421</v>
      </c>
      <c r="D30" s="4">
        <v>29</v>
      </c>
      <c r="E30" s="4">
        <v>1</v>
      </c>
      <c r="F30" s="4" t="s">
        <v>422</v>
      </c>
      <c r="G30" s="4">
        <v>1</v>
      </c>
      <c r="H30" s="4">
        <v>2024</v>
      </c>
      <c r="I30" s="4" t="b">
        <f>FALSE()</f>
        <v>0</v>
      </c>
      <c r="J30" s="4" t="b">
        <f>TRUE()</f>
        <v>1</v>
      </c>
    </row>
    <row r="31" spans="1:10">
      <c r="A31" s="4">
        <v>20240130</v>
      </c>
      <c r="B31" s="4" t="s">
        <v>456</v>
      </c>
      <c r="C31" s="4" t="s">
        <v>424</v>
      </c>
      <c r="D31" s="4">
        <v>30</v>
      </c>
      <c r="E31" s="4">
        <v>1</v>
      </c>
      <c r="F31" s="4" t="s">
        <v>422</v>
      </c>
      <c r="G31" s="4">
        <v>1</v>
      </c>
      <c r="H31" s="4">
        <v>2024</v>
      </c>
      <c r="I31" s="4" t="b">
        <f>FALSE()</f>
        <v>0</v>
      </c>
      <c r="J31" s="4" t="b">
        <f>FALSE()</f>
        <v>0</v>
      </c>
    </row>
    <row r="32" spans="1:10">
      <c r="A32" s="4">
        <v>20240131</v>
      </c>
      <c r="B32" s="4" t="s">
        <v>457</v>
      </c>
      <c r="C32" s="4" t="s">
        <v>426</v>
      </c>
      <c r="D32" s="4">
        <v>31</v>
      </c>
      <c r="E32" s="4">
        <v>1</v>
      </c>
      <c r="F32" s="4" t="s">
        <v>422</v>
      </c>
      <c r="G32" s="4">
        <v>1</v>
      </c>
      <c r="H32" s="4">
        <v>2024</v>
      </c>
      <c r="I32" s="4" t="b">
        <f>FALSE()</f>
        <v>0</v>
      </c>
      <c r="J32" s="4" t="b">
        <f>TRUE()</f>
        <v>1</v>
      </c>
    </row>
    <row r="33" spans="1:10">
      <c r="A33" s="4">
        <v>20240201</v>
      </c>
      <c r="B33" s="4" t="s">
        <v>458</v>
      </c>
      <c r="C33" s="4" t="s">
        <v>428</v>
      </c>
      <c r="D33" s="4">
        <v>1</v>
      </c>
      <c r="E33" s="4">
        <v>2</v>
      </c>
      <c r="F33" s="4" t="s">
        <v>459</v>
      </c>
      <c r="G33" s="4">
        <v>1</v>
      </c>
      <c r="H33" s="4">
        <v>2024</v>
      </c>
      <c r="I33" s="4" t="b">
        <f>FALSE()</f>
        <v>0</v>
      </c>
      <c r="J33" s="4" t="b">
        <f>FALSE()</f>
        <v>0</v>
      </c>
    </row>
    <row r="34" spans="1:10">
      <c r="A34" s="4">
        <v>20240202</v>
      </c>
      <c r="B34" s="4" t="s">
        <v>460</v>
      </c>
      <c r="C34" s="4" t="s">
        <v>430</v>
      </c>
      <c r="D34" s="4">
        <v>2</v>
      </c>
      <c r="E34" s="4">
        <v>2</v>
      </c>
      <c r="F34" s="4" t="s">
        <v>459</v>
      </c>
      <c r="G34" s="4">
        <v>1</v>
      </c>
      <c r="H34" s="4">
        <v>2024</v>
      </c>
      <c r="I34" s="4" t="b">
        <f>FALSE()</f>
        <v>0</v>
      </c>
      <c r="J34" s="4" t="b">
        <f>FALSE()</f>
        <v>0</v>
      </c>
    </row>
    <row r="35" spans="1:10">
      <c r="A35" s="4">
        <v>20240203</v>
      </c>
      <c r="B35" s="4" t="s">
        <v>461</v>
      </c>
      <c r="C35" s="4" t="s">
        <v>432</v>
      </c>
      <c r="D35" s="4">
        <v>3</v>
      </c>
      <c r="E35" s="4">
        <v>2</v>
      </c>
      <c r="F35" s="4" t="s">
        <v>459</v>
      </c>
      <c r="G35" s="4">
        <v>1</v>
      </c>
      <c r="H35" s="4">
        <v>2024</v>
      </c>
      <c r="I35" s="4" t="b">
        <f>TRUE()</f>
        <v>1</v>
      </c>
      <c r="J35" s="4" t="b">
        <f>FALSE()</f>
        <v>0</v>
      </c>
    </row>
    <row r="36" spans="1:10">
      <c r="A36" s="4">
        <v>20240204</v>
      </c>
      <c r="B36" s="4" t="s">
        <v>462</v>
      </c>
      <c r="C36" s="4" t="s">
        <v>54</v>
      </c>
      <c r="D36" s="4">
        <v>4</v>
      </c>
      <c r="E36" s="4">
        <v>2</v>
      </c>
      <c r="F36" s="4" t="s">
        <v>459</v>
      </c>
      <c r="G36" s="4">
        <v>1</v>
      </c>
      <c r="H36" s="4">
        <v>2024</v>
      </c>
      <c r="I36" s="4" t="b">
        <f>TRUE()</f>
        <v>1</v>
      </c>
      <c r="J36" s="4" t="b">
        <f>TRUE()</f>
        <v>1</v>
      </c>
    </row>
    <row r="37" spans="1:10">
      <c r="A37" s="4">
        <v>20240205</v>
      </c>
      <c r="B37" s="4" t="s">
        <v>463</v>
      </c>
      <c r="C37" s="4" t="s">
        <v>421</v>
      </c>
      <c r="D37" s="4">
        <v>5</v>
      </c>
      <c r="E37" s="4">
        <v>2</v>
      </c>
      <c r="F37" s="4" t="s">
        <v>459</v>
      </c>
      <c r="G37" s="4">
        <v>1</v>
      </c>
      <c r="H37" s="4">
        <v>2024</v>
      </c>
      <c r="I37" s="4" t="b">
        <f>FALSE()</f>
        <v>0</v>
      </c>
      <c r="J37" s="4" t="b">
        <f>TRUE()</f>
        <v>1</v>
      </c>
    </row>
    <row r="38" spans="1:10">
      <c r="A38" s="4">
        <v>20240206</v>
      </c>
      <c r="B38" s="4" t="s">
        <v>464</v>
      </c>
      <c r="C38" s="4" t="s">
        <v>424</v>
      </c>
      <c r="D38" s="4">
        <v>6</v>
      </c>
      <c r="E38" s="4">
        <v>2</v>
      </c>
      <c r="F38" s="4" t="s">
        <v>459</v>
      </c>
      <c r="G38" s="4">
        <v>1</v>
      </c>
      <c r="H38" s="4">
        <v>2024</v>
      </c>
      <c r="I38" s="4" t="b">
        <f>FALSE()</f>
        <v>0</v>
      </c>
      <c r="J38" s="4" t="b">
        <f>FALSE()</f>
        <v>0</v>
      </c>
    </row>
    <row r="39" spans="1:10">
      <c r="A39" s="4">
        <v>20240207</v>
      </c>
      <c r="B39" s="4" t="s">
        <v>465</v>
      </c>
      <c r="C39" s="4" t="s">
        <v>426</v>
      </c>
      <c r="D39" s="4">
        <v>7</v>
      </c>
      <c r="E39" s="4">
        <v>2</v>
      </c>
      <c r="F39" s="4" t="s">
        <v>459</v>
      </c>
      <c r="G39" s="4">
        <v>1</v>
      </c>
      <c r="H39" s="4">
        <v>2024</v>
      </c>
      <c r="I39" s="4" t="b">
        <f>FALSE()</f>
        <v>0</v>
      </c>
      <c r="J39" s="4" t="b">
        <f>TRUE()</f>
        <v>1</v>
      </c>
    </row>
    <row r="40" spans="1:10">
      <c r="A40" s="4">
        <v>20240208</v>
      </c>
      <c r="B40" s="4" t="s">
        <v>466</v>
      </c>
      <c r="C40" s="4" t="s">
        <v>428</v>
      </c>
      <c r="D40" s="4">
        <v>8</v>
      </c>
      <c r="E40" s="4">
        <v>2</v>
      </c>
      <c r="F40" s="4" t="s">
        <v>459</v>
      </c>
      <c r="G40" s="4">
        <v>1</v>
      </c>
      <c r="H40" s="4">
        <v>2024</v>
      </c>
      <c r="I40" s="4" t="b">
        <f>FALSE()</f>
        <v>0</v>
      </c>
      <c r="J40" s="4" t="b">
        <f>FALSE()</f>
        <v>0</v>
      </c>
    </row>
    <row r="41" spans="1:10">
      <c r="A41" s="4">
        <v>20240209</v>
      </c>
      <c r="B41" s="4" t="s">
        <v>467</v>
      </c>
      <c r="C41" s="4" t="s">
        <v>430</v>
      </c>
      <c r="D41" s="4">
        <v>9</v>
      </c>
      <c r="E41" s="4">
        <v>2</v>
      </c>
      <c r="F41" s="4" t="s">
        <v>459</v>
      </c>
      <c r="G41" s="4">
        <v>1</v>
      </c>
      <c r="H41" s="4">
        <v>2024</v>
      </c>
      <c r="I41" s="4" t="b">
        <f>FALSE()</f>
        <v>0</v>
      </c>
      <c r="J41" s="4" t="b">
        <f>FALSE()</f>
        <v>0</v>
      </c>
    </row>
    <row r="42" spans="1:10">
      <c r="A42" s="4">
        <v>20240210</v>
      </c>
      <c r="B42" s="4" t="s">
        <v>468</v>
      </c>
      <c r="C42" s="4" t="s">
        <v>432</v>
      </c>
      <c r="D42" s="4">
        <v>10</v>
      </c>
      <c r="E42" s="4">
        <v>2</v>
      </c>
      <c r="F42" s="4" t="s">
        <v>459</v>
      </c>
      <c r="G42" s="4">
        <v>1</v>
      </c>
      <c r="H42" s="4">
        <v>2024</v>
      </c>
      <c r="I42" s="4" t="b">
        <f>TRUE()</f>
        <v>1</v>
      </c>
      <c r="J42" s="4" t="b">
        <f>FALSE()</f>
        <v>0</v>
      </c>
    </row>
    <row r="43" spans="1:10">
      <c r="A43" s="4">
        <v>20240211</v>
      </c>
      <c r="B43" s="4" t="s">
        <v>469</v>
      </c>
      <c r="C43" s="4" t="s">
        <v>54</v>
      </c>
      <c r="D43" s="4">
        <v>11</v>
      </c>
      <c r="E43" s="4">
        <v>2</v>
      </c>
      <c r="F43" s="4" t="s">
        <v>459</v>
      </c>
      <c r="G43" s="4">
        <v>1</v>
      </c>
      <c r="H43" s="4">
        <v>2024</v>
      </c>
      <c r="I43" s="4" t="b">
        <f>TRUE()</f>
        <v>1</v>
      </c>
      <c r="J43" s="4" t="b">
        <f>TRUE()</f>
        <v>1</v>
      </c>
    </row>
    <row r="44" spans="1:10">
      <c r="A44" s="4">
        <v>20240212</v>
      </c>
      <c r="B44" s="4" t="s">
        <v>470</v>
      </c>
      <c r="C44" s="4" t="s">
        <v>421</v>
      </c>
      <c r="D44" s="4">
        <v>12</v>
      </c>
      <c r="E44" s="4">
        <v>2</v>
      </c>
      <c r="F44" s="4" t="s">
        <v>459</v>
      </c>
      <c r="G44" s="4">
        <v>1</v>
      </c>
      <c r="H44" s="4">
        <v>2024</v>
      </c>
      <c r="I44" s="4" t="b">
        <f>FALSE()</f>
        <v>0</v>
      </c>
      <c r="J44" s="4" t="b">
        <f>TRUE()</f>
        <v>1</v>
      </c>
    </row>
    <row r="45" spans="1:10">
      <c r="A45" s="4">
        <v>20240213</v>
      </c>
      <c r="B45" s="4" t="s">
        <v>471</v>
      </c>
      <c r="C45" s="4" t="s">
        <v>424</v>
      </c>
      <c r="D45" s="4">
        <v>13</v>
      </c>
      <c r="E45" s="4">
        <v>2</v>
      </c>
      <c r="F45" s="4" t="s">
        <v>459</v>
      </c>
      <c r="G45" s="4">
        <v>1</v>
      </c>
      <c r="H45" s="4">
        <v>2024</v>
      </c>
      <c r="I45" s="4" t="b">
        <f>FALSE()</f>
        <v>0</v>
      </c>
      <c r="J45" s="4" t="b">
        <f>FALSE()</f>
        <v>0</v>
      </c>
    </row>
    <row r="46" spans="1:10">
      <c r="A46" s="4">
        <v>20240214</v>
      </c>
      <c r="B46" s="4" t="s">
        <v>472</v>
      </c>
      <c r="C46" s="4" t="s">
        <v>426</v>
      </c>
      <c r="D46" s="4">
        <v>14</v>
      </c>
      <c r="E46" s="4">
        <v>2</v>
      </c>
      <c r="F46" s="4" t="s">
        <v>459</v>
      </c>
      <c r="G46" s="4">
        <v>1</v>
      </c>
      <c r="H46" s="4">
        <v>2024</v>
      </c>
      <c r="I46" s="4" t="b">
        <f>FALSE()</f>
        <v>0</v>
      </c>
      <c r="J46" s="4" t="b">
        <f>TRUE()</f>
        <v>1</v>
      </c>
    </row>
    <row r="47" spans="1:10">
      <c r="A47" s="4">
        <v>20240215</v>
      </c>
      <c r="B47" s="4" t="s">
        <v>473</v>
      </c>
      <c r="C47" s="4" t="s">
        <v>428</v>
      </c>
      <c r="D47" s="4">
        <v>15</v>
      </c>
      <c r="E47" s="4">
        <v>2</v>
      </c>
      <c r="F47" s="4" t="s">
        <v>459</v>
      </c>
      <c r="G47" s="4">
        <v>1</v>
      </c>
      <c r="H47" s="4">
        <v>2024</v>
      </c>
      <c r="I47" s="4" t="b">
        <f>FALSE()</f>
        <v>0</v>
      </c>
      <c r="J47" s="4" t="b">
        <f>FALSE()</f>
        <v>0</v>
      </c>
    </row>
    <row r="48" spans="1:10">
      <c r="A48" s="4">
        <v>20240216</v>
      </c>
      <c r="B48" s="4" t="s">
        <v>474</v>
      </c>
      <c r="C48" s="4" t="s">
        <v>430</v>
      </c>
      <c r="D48" s="4">
        <v>16</v>
      </c>
      <c r="E48" s="4">
        <v>2</v>
      </c>
      <c r="F48" s="4" t="s">
        <v>459</v>
      </c>
      <c r="G48" s="4">
        <v>1</v>
      </c>
      <c r="H48" s="4">
        <v>2024</v>
      </c>
      <c r="I48" s="4" t="b">
        <f>FALSE()</f>
        <v>0</v>
      </c>
      <c r="J48" s="4" t="b">
        <f>FALSE()</f>
        <v>0</v>
      </c>
    </row>
    <row r="49" spans="1:10">
      <c r="A49" s="4">
        <v>20240217</v>
      </c>
      <c r="B49" s="4" t="s">
        <v>475</v>
      </c>
      <c r="C49" s="4" t="s">
        <v>432</v>
      </c>
      <c r="D49" s="4">
        <v>17</v>
      </c>
      <c r="E49" s="4">
        <v>2</v>
      </c>
      <c r="F49" s="4" t="s">
        <v>459</v>
      </c>
      <c r="G49" s="4">
        <v>1</v>
      </c>
      <c r="H49" s="4">
        <v>2024</v>
      </c>
      <c r="I49" s="4" t="b">
        <f>TRUE()</f>
        <v>1</v>
      </c>
      <c r="J49" s="4" t="b">
        <f>FALSE()</f>
        <v>0</v>
      </c>
    </row>
    <row r="50" spans="1:10">
      <c r="A50" s="4">
        <v>20240218</v>
      </c>
      <c r="B50" s="4" t="s">
        <v>476</v>
      </c>
      <c r="C50" s="4" t="s">
        <v>54</v>
      </c>
      <c r="D50" s="4">
        <v>18</v>
      </c>
      <c r="E50" s="4">
        <v>2</v>
      </c>
      <c r="F50" s="4" t="s">
        <v>459</v>
      </c>
      <c r="G50" s="4">
        <v>1</v>
      </c>
      <c r="H50" s="4">
        <v>2024</v>
      </c>
      <c r="I50" s="4" t="b">
        <f>TRUE()</f>
        <v>1</v>
      </c>
      <c r="J50" s="4" t="b">
        <f>TRUE()</f>
        <v>1</v>
      </c>
    </row>
    <row r="51" spans="1:10">
      <c r="A51" s="4">
        <v>20240219</v>
      </c>
      <c r="B51" s="4" t="s">
        <v>477</v>
      </c>
      <c r="C51" s="4" t="s">
        <v>421</v>
      </c>
      <c r="D51" s="4">
        <v>19</v>
      </c>
      <c r="E51" s="4">
        <v>2</v>
      </c>
      <c r="F51" s="4" t="s">
        <v>459</v>
      </c>
      <c r="G51" s="4">
        <v>1</v>
      </c>
      <c r="H51" s="4">
        <v>2024</v>
      </c>
      <c r="I51" s="4" t="b">
        <f>FALSE()</f>
        <v>0</v>
      </c>
      <c r="J51" s="4" t="b">
        <f>TRUE()</f>
        <v>1</v>
      </c>
    </row>
    <row r="52" spans="1:10">
      <c r="A52" s="4">
        <v>20240220</v>
      </c>
      <c r="B52" s="4" t="s">
        <v>478</v>
      </c>
      <c r="C52" s="4" t="s">
        <v>424</v>
      </c>
      <c r="D52" s="4">
        <v>20</v>
      </c>
      <c r="E52" s="4">
        <v>2</v>
      </c>
      <c r="F52" s="4" t="s">
        <v>459</v>
      </c>
      <c r="G52" s="4">
        <v>1</v>
      </c>
      <c r="H52" s="4">
        <v>2024</v>
      </c>
      <c r="I52" s="4" t="b">
        <f>FALSE()</f>
        <v>0</v>
      </c>
      <c r="J52" s="4" t="b">
        <f>FALSE()</f>
        <v>0</v>
      </c>
    </row>
    <row r="53" spans="1:10">
      <c r="A53" s="4">
        <v>20240221</v>
      </c>
      <c r="B53" s="4" t="s">
        <v>479</v>
      </c>
      <c r="C53" s="4" t="s">
        <v>426</v>
      </c>
      <c r="D53" s="4">
        <v>21</v>
      </c>
      <c r="E53" s="4">
        <v>2</v>
      </c>
      <c r="F53" s="4" t="s">
        <v>459</v>
      </c>
      <c r="G53" s="4">
        <v>1</v>
      </c>
      <c r="H53" s="4">
        <v>2024</v>
      </c>
      <c r="I53" s="4" t="b">
        <f>FALSE()</f>
        <v>0</v>
      </c>
      <c r="J53" s="4" t="b">
        <f>TRUE()</f>
        <v>1</v>
      </c>
    </row>
    <row r="54" spans="1:10">
      <c r="A54" s="4">
        <v>20240222</v>
      </c>
      <c r="B54" s="4" t="s">
        <v>480</v>
      </c>
      <c r="C54" s="4" t="s">
        <v>428</v>
      </c>
      <c r="D54" s="4">
        <v>22</v>
      </c>
      <c r="E54" s="4">
        <v>2</v>
      </c>
      <c r="F54" s="4" t="s">
        <v>459</v>
      </c>
      <c r="G54" s="4">
        <v>1</v>
      </c>
      <c r="H54" s="4">
        <v>2024</v>
      </c>
      <c r="I54" s="4" t="b">
        <f>FALSE()</f>
        <v>0</v>
      </c>
      <c r="J54" s="4" t="b">
        <f>FALSE()</f>
        <v>0</v>
      </c>
    </row>
    <row r="55" spans="1:10">
      <c r="A55" s="4">
        <v>20240223</v>
      </c>
      <c r="B55" s="4" t="s">
        <v>481</v>
      </c>
      <c r="C55" s="4" t="s">
        <v>430</v>
      </c>
      <c r="D55" s="4">
        <v>23</v>
      </c>
      <c r="E55" s="4">
        <v>2</v>
      </c>
      <c r="F55" s="4" t="s">
        <v>459</v>
      </c>
      <c r="G55" s="4">
        <v>1</v>
      </c>
      <c r="H55" s="4">
        <v>2024</v>
      </c>
      <c r="I55" s="4" t="b">
        <f>FALSE()</f>
        <v>0</v>
      </c>
      <c r="J55" s="4" t="b">
        <f>FALSE()</f>
        <v>0</v>
      </c>
    </row>
    <row r="56" spans="1:10">
      <c r="A56" s="4">
        <v>20240224</v>
      </c>
      <c r="B56" s="4" t="s">
        <v>482</v>
      </c>
      <c r="C56" s="4" t="s">
        <v>432</v>
      </c>
      <c r="D56" s="4">
        <v>24</v>
      </c>
      <c r="E56" s="4">
        <v>2</v>
      </c>
      <c r="F56" s="4" t="s">
        <v>459</v>
      </c>
      <c r="G56" s="4">
        <v>1</v>
      </c>
      <c r="H56" s="4">
        <v>2024</v>
      </c>
      <c r="I56" s="4" t="b">
        <f>TRUE()</f>
        <v>1</v>
      </c>
      <c r="J56" s="4" t="b">
        <f>FALSE()</f>
        <v>0</v>
      </c>
    </row>
    <row r="57" spans="1:10">
      <c r="A57" s="4">
        <v>20240225</v>
      </c>
      <c r="B57" s="4" t="s">
        <v>483</v>
      </c>
      <c r="C57" s="4" t="s">
        <v>54</v>
      </c>
      <c r="D57" s="4">
        <v>25</v>
      </c>
      <c r="E57" s="4">
        <v>2</v>
      </c>
      <c r="F57" s="4" t="s">
        <v>459</v>
      </c>
      <c r="G57" s="4">
        <v>1</v>
      </c>
      <c r="H57" s="4">
        <v>2024</v>
      </c>
      <c r="I57" s="4" t="b">
        <f>TRUE()</f>
        <v>1</v>
      </c>
      <c r="J57" s="4" t="b">
        <f>TRUE()</f>
        <v>1</v>
      </c>
    </row>
    <row r="58" spans="1:10">
      <c r="A58" s="4">
        <v>20240226</v>
      </c>
      <c r="B58" s="4" t="s">
        <v>484</v>
      </c>
      <c r="C58" s="4" t="s">
        <v>421</v>
      </c>
      <c r="D58" s="4">
        <v>26</v>
      </c>
      <c r="E58" s="4">
        <v>2</v>
      </c>
      <c r="F58" s="4" t="s">
        <v>459</v>
      </c>
      <c r="G58" s="4">
        <v>1</v>
      </c>
      <c r="H58" s="4">
        <v>2024</v>
      </c>
      <c r="I58" s="4" t="b">
        <f>FALSE()</f>
        <v>0</v>
      </c>
      <c r="J58" s="4" t="b">
        <f>TRUE()</f>
        <v>1</v>
      </c>
    </row>
    <row r="59" spans="1:10">
      <c r="A59" s="4">
        <v>20240227</v>
      </c>
      <c r="B59" s="4" t="s">
        <v>485</v>
      </c>
      <c r="C59" s="4" t="s">
        <v>424</v>
      </c>
      <c r="D59" s="4">
        <v>27</v>
      </c>
      <c r="E59" s="4">
        <v>2</v>
      </c>
      <c r="F59" s="4" t="s">
        <v>459</v>
      </c>
      <c r="G59" s="4">
        <v>1</v>
      </c>
      <c r="H59" s="4">
        <v>2024</v>
      </c>
      <c r="I59" s="4" t="b">
        <f>FALSE()</f>
        <v>0</v>
      </c>
      <c r="J59" s="4" t="b">
        <f>FALSE()</f>
        <v>0</v>
      </c>
    </row>
    <row r="60" spans="1:10">
      <c r="A60" s="4">
        <v>20240228</v>
      </c>
      <c r="B60" s="4" t="s">
        <v>486</v>
      </c>
      <c r="C60" s="4" t="s">
        <v>426</v>
      </c>
      <c r="D60" s="4">
        <v>28</v>
      </c>
      <c r="E60" s="4">
        <v>2</v>
      </c>
      <c r="F60" s="4" t="s">
        <v>459</v>
      </c>
      <c r="G60" s="4">
        <v>1</v>
      </c>
      <c r="H60" s="4">
        <v>2024</v>
      </c>
      <c r="I60" s="4" t="b">
        <f>FALSE()</f>
        <v>0</v>
      </c>
      <c r="J60" s="4" t="b">
        <f>TRUE()</f>
        <v>1</v>
      </c>
    </row>
    <row r="61" spans="1:10">
      <c r="A61" s="4">
        <v>20240229</v>
      </c>
      <c r="B61" s="4" t="s">
        <v>487</v>
      </c>
      <c r="C61" s="4" t="s">
        <v>428</v>
      </c>
      <c r="D61" s="4">
        <v>29</v>
      </c>
      <c r="E61" s="4">
        <v>2</v>
      </c>
      <c r="F61" s="4" t="s">
        <v>459</v>
      </c>
      <c r="G61" s="4">
        <v>1</v>
      </c>
      <c r="H61" s="4">
        <v>2024</v>
      </c>
      <c r="I61" s="4" t="b">
        <f>FALSE()</f>
        <v>0</v>
      </c>
      <c r="J61" s="4" t="b">
        <f>FALSE()</f>
        <v>0</v>
      </c>
    </row>
    <row r="62" spans="1:10">
      <c r="A62" s="4">
        <v>20240301</v>
      </c>
      <c r="B62" s="4" t="s">
        <v>488</v>
      </c>
      <c r="C62" s="4" t="s">
        <v>430</v>
      </c>
      <c r="D62" s="4">
        <v>1</v>
      </c>
      <c r="E62" s="4">
        <v>3</v>
      </c>
      <c r="F62" s="4" t="s">
        <v>63</v>
      </c>
      <c r="G62" s="4">
        <v>1</v>
      </c>
      <c r="H62" s="4">
        <v>2024</v>
      </c>
      <c r="I62" s="4" t="b">
        <f>FALSE()</f>
        <v>0</v>
      </c>
      <c r="J62" s="4" t="b">
        <f>FALSE()</f>
        <v>0</v>
      </c>
    </row>
    <row r="63" spans="1:10">
      <c r="A63" s="4">
        <v>20240302</v>
      </c>
      <c r="B63" s="4" t="s">
        <v>489</v>
      </c>
      <c r="C63" s="4" t="s">
        <v>432</v>
      </c>
      <c r="D63" s="4">
        <v>2</v>
      </c>
      <c r="E63" s="4">
        <v>3</v>
      </c>
      <c r="F63" s="4" t="s">
        <v>63</v>
      </c>
      <c r="G63" s="4">
        <v>1</v>
      </c>
      <c r="H63" s="4">
        <v>2024</v>
      </c>
      <c r="I63" s="4" t="b">
        <f>TRUE()</f>
        <v>1</v>
      </c>
      <c r="J63" s="4" t="b">
        <f>FALSE()</f>
        <v>0</v>
      </c>
    </row>
    <row r="64" spans="1:10">
      <c r="A64" s="4">
        <v>20240303</v>
      </c>
      <c r="B64" s="4" t="s">
        <v>490</v>
      </c>
      <c r="C64" s="4" t="s">
        <v>54</v>
      </c>
      <c r="D64" s="4">
        <v>3</v>
      </c>
      <c r="E64" s="4">
        <v>3</v>
      </c>
      <c r="F64" s="4" t="s">
        <v>63</v>
      </c>
      <c r="G64" s="4">
        <v>1</v>
      </c>
      <c r="H64" s="4">
        <v>2024</v>
      </c>
      <c r="I64" s="4" t="b">
        <f>TRUE()</f>
        <v>1</v>
      </c>
      <c r="J64" s="4" t="b">
        <f>TRUE()</f>
        <v>1</v>
      </c>
    </row>
    <row r="65" spans="1:10">
      <c r="A65" s="4">
        <v>20240304</v>
      </c>
      <c r="B65" s="4" t="s">
        <v>491</v>
      </c>
      <c r="C65" s="4" t="s">
        <v>421</v>
      </c>
      <c r="D65" s="4">
        <v>4</v>
      </c>
      <c r="E65" s="4">
        <v>3</v>
      </c>
      <c r="F65" s="4" t="s">
        <v>63</v>
      </c>
      <c r="G65" s="4">
        <v>1</v>
      </c>
      <c r="H65" s="4">
        <v>2024</v>
      </c>
      <c r="I65" s="4" t="b">
        <f>FALSE()</f>
        <v>0</v>
      </c>
      <c r="J65" s="4" t="b">
        <f>TRUE()</f>
        <v>1</v>
      </c>
    </row>
    <row r="66" spans="1:10">
      <c r="A66" s="4">
        <v>20240305</v>
      </c>
      <c r="B66" s="4" t="s">
        <v>492</v>
      </c>
      <c r="C66" s="4" t="s">
        <v>424</v>
      </c>
      <c r="D66" s="4">
        <v>5</v>
      </c>
      <c r="E66" s="4">
        <v>3</v>
      </c>
      <c r="F66" s="4" t="s">
        <v>63</v>
      </c>
      <c r="G66" s="4">
        <v>1</v>
      </c>
      <c r="H66" s="4">
        <v>2024</v>
      </c>
      <c r="I66" s="4" t="b">
        <f>FALSE()</f>
        <v>0</v>
      </c>
      <c r="J66" s="4" t="b">
        <f>FALSE()</f>
        <v>0</v>
      </c>
    </row>
    <row r="67" spans="1:10">
      <c r="A67" s="4">
        <v>20240306</v>
      </c>
      <c r="B67" s="4" t="s">
        <v>493</v>
      </c>
      <c r="C67" s="4" t="s">
        <v>426</v>
      </c>
      <c r="D67" s="4">
        <v>6</v>
      </c>
      <c r="E67" s="4">
        <v>3</v>
      </c>
      <c r="F67" s="4" t="s">
        <v>63</v>
      </c>
      <c r="G67" s="4">
        <v>1</v>
      </c>
      <c r="H67" s="4">
        <v>2024</v>
      </c>
      <c r="I67" s="4" t="b">
        <f>FALSE()</f>
        <v>0</v>
      </c>
      <c r="J67" s="4" t="b">
        <f>TRUE()</f>
        <v>1</v>
      </c>
    </row>
    <row r="68" spans="1:10">
      <c r="A68" s="4">
        <v>20240307</v>
      </c>
      <c r="B68" s="4" t="s">
        <v>494</v>
      </c>
      <c r="C68" s="4" t="s">
        <v>428</v>
      </c>
      <c r="D68" s="4">
        <v>7</v>
      </c>
      <c r="E68" s="4">
        <v>3</v>
      </c>
      <c r="F68" s="4" t="s">
        <v>63</v>
      </c>
      <c r="G68" s="4">
        <v>1</v>
      </c>
      <c r="H68" s="4">
        <v>2024</v>
      </c>
      <c r="I68" s="4" t="b">
        <f>FALSE()</f>
        <v>0</v>
      </c>
      <c r="J68" s="4" t="b">
        <f>FALSE()</f>
        <v>0</v>
      </c>
    </row>
    <row r="69" spans="1:10">
      <c r="A69" s="4">
        <v>20240308</v>
      </c>
      <c r="B69" s="4" t="s">
        <v>495</v>
      </c>
      <c r="C69" s="4" t="s">
        <v>430</v>
      </c>
      <c r="D69" s="4">
        <v>8</v>
      </c>
      <c r="E69" s="4">
        <v>3</v>
      </c>
      <c r="F69" s="4" t="s">
        <v>63</v>
      </c>
      <c r="G69" s="4">
        <v>1</v>
      </c>
      <c r="H69" s="4">
        <v>2024</v>
      </c>
      <c r="I69" s="4" t="b">
        <f>FALSE()</f>
        <v>0</v>
      </c>
      <c r="J69" s="4" t="b">
        <f>FALSE()</f>
        <v>0</v>
      </c>
    </row>
    <row r="70" spans="1:10">
      <c r="A70" s="4">
        <v>20240309</v>
      </c>
      <c r="B70" s="4" t="s">
        <v>496</v>
      </c>
      <c r="C70" s="4" t="s">
        <v>432</v>
      </c>
      <c r="D70" s="4">
        <v>9</v>
      </c>
      <c r="E70" s="4">
        <v>3</v>
      </c>
      <c r="F70" s="4" t="s">
        <v>63</v>
      </c>
      <c r="G70" s="4">
        <v>1</v>
      </c>
      <c r="H70" s="4">
        <v>2024</v>
      </c>
      <c r="I70" s="4" t="b">
        <f>TRUE()</f>
        <v>1</v>
      </c>
      <c r="J70" s="4" t="b">
        <f>FALSE()</f>
        <v>0</v>
      </c>
    </row>
    <row r="71" spans="1:10">
      <c r="A71" s="4">
        <v>20240310</v>
      </c>
      <c r="B71" s="4" t="s">
        <v>497</v>
      </c>
      <c r="C71" s="4" t="s">
        <v>54</v>
      </c>
      <c r="D71" s="4">
        <v>10</v>
      </c>
      <c r="E71" s="4">
        <v>3</v>
      </c>
      <c r="F71" s="4" t="s">
        <v>63</v>
      </c>
      <c r="G71" s="4">
        <v>1</v>
      </c>
      <c r="H71" s="4">
        <v>2024</v>
      </c>
      <c r="I71" s="4" t="b">
        <f>TRUE()</f>
        <v>1</v>
      </c>
      <c r="J71" s="4" t="b">
        <f>TRUE()</f>
        <v>1</v>
      </c>
    </row>
    <row r="72" spans="1:10">
      <c r="A72" s="4">
        <v>20240311</v>
      </c>
      <c r="B72" s="4" t="s">
        <v>498</v>
      </c>
      <c r="C72" s="4" t="s">
        <v>421</v>
      </c>
      <c r="D72" s="4">
        <v>11</v>
      </c>
      <c r="E72" s="4">
        <v>3</v>
      </c>
      <c r="F72" s="4" t="s">
        <v>63</v>
      </c>
      <c r="G72" s="4">
        <v>1</v>
      </c>
      <c r="H72" s="4">
        <v>2024</v>
      </c>
      <c r="I72" s="4" t="b">
        <f>FALSE()</f>
        <v>0</v>
      </c>
      <c r="J72" s="4" t="b">
        <f>TRUE()</f>
        <v>1</v>
      </c>
    </row>
    <row r="73" spans="1:10">
      <c r="A73" s="4">
        <v>20240312</v>
      </c>
      <c r="B73" s="4" t="s">
        <v>499</v>
      </c>
      <c r="C73" s="4" t="s">
        <v>424</v>
      </c>
      <c r="D73" s="4">
        <v>12</v>
      </c>
      <c r="E73" s="4">
        <v>3</v>
      </c>
      <c r="F73" s="4" t="s">
        <v>63</v>
      </c>
      <c r="G73" s="4">
        <v>1</v>
      </c>
      <c r="H73" s="4">
        <v>2024</v>
      </c>
      <c r="I73" s="4" t="b">
        <f>FALSE()</f>
        <v>0</v>
      </c>
      <c r="J73" s="4" t="b">
        <f>FALSE()</f>
        <v>0</v>
      </c>
    </row>
    <row r="74" spans="1:10">
      <c r="A74" s="4">
        <v>20240313</v>
      </c>
      <c r="B74" s="4" t="s">
        <v>500</v>
      </c>
      <c r="C74" s="4" t="s">
        <v>426</v>
      </c>
      <c r="D74" s="4">
        <v>13</v>
      </c>
      <c r="E74" s="4">
        <v>3</v>
      </c>
      <c r="F74" s="4" t="s">
        <v>63</v>
      </c>
      <c r="G74" s="4">
        <v>1</v>
      </c>
      <c r="H74" s="4">
        <v>2024</v>
      </c>
      <c r="I74" s="4" t="b">
        <f>FALSE()</f>
        <v>0</v>
      </c>
      <c r="J74" s="4" t="b">
        <f>TRUE()</f>
        <v>1</v>
      </c>
    </row>
    <row r="75" spans="1:10">
      <c r="A75" s="4">
        <v>20240314</v>
      </c>
      <c r="B75" s="4" t="s">
        <v>501</v>
      </c>
      <c r="C75" s="4" t="s">
        <v>428</v>
      </c>
      <c r="D75" s="4">
        <v>14</v>
      </c>
      <c r="E75" s="4">
        <v>3</v>
      </c>
      <c r="F75" s="4" t="s">
        <v>63</v>
      </c>
      <c r="G75" s="4">
        <v>1</v>
      </c>
      <c r="H75" s="4">
        <v>2024</v>
      </c>
      <c r="I75" s="4" t="b">
        <f>FALSE()</f>
        <v>0</v>
      </c>
      <c r="J75" s="4" t="b">
        <f>FALSE()</f>
        <v>0</v>
      </c>
    </row>
    <row r="76" spans="1:10">
      <c r="A76" s="4">
        <v>20240315</v>
      </c>
      <c r="B76" s="4" t="s">
        <v>502</v>
      </c>
      <c r="C76" s="4" t="s">
        <v>430</v>
      </c>
      <c r="D76" s="4">
        <v>15</v>
      </c>
      <c r="E76" s="4">
        <v>3</v>
      </c>
      <c r="F76" s="4" t="s">
        <v>63</v>
      </c>
      <c r="G76" s="4">
        <v>1</v>
      </c>
      <c r="H76" s="4">
        <v>2024</v>
      </c>
      <c r="I76" s="4" t="b">
        <f>FALSE()</f>
        <v>0</v>
      </c>
      <c r="J76" s="4" t="b">
        <f>FALSE()</f>
        <v>0</v>
      </c>
    </row>
    <row r="77" spans="1:10">
      <c r="A77" s="4">
        <v>20240316</v>
      </c>
      <c r="B77" s="4" t="s">
        <v>503</v>
      </c>
      <c r="C77" s="4" t="s">
        <v>432</v>
      </c>
      <c r="D77" s="4">
        <v>16</v>
      </c>
      <c r="E77" s="4">
        <v>3</v>
      </c>
      <c r="F77" s="4" t="s">
        <v>63</v>
      </c>
      <c r="G77" s="4">
        <v>1</v>
      </c>
      <c r="H77" s="4">
        <v>2024</v>
      </c>
      <c r="I77" s="4" t="b">
        <f>TRUE()</f>
        <v>1</v>
      </c>
      <c r="J77" s="4" t="b">
        <f>FALSE()</f>
        <v>0</v>
      </c>
    </row>
    <row r="78" spans="1:10">
      <c r="A78" s="4">
        <v>20240317</v>
      </c>
      <c r="B78" s="4" t="s">
        <v>504</v>
      </c>
      <c r="C78" s="4" t="s">
        <v>54</v>
      </c>
      <c r="D78" s="4">
        <v>17</v>
      </c>
      <c r="E78" s="4">
        <v>3</v>
      </c>
      <c r="F78" s="4" t="s">
        <v>63</v>
      </c>
      <c r="G78" s="4">
        <v>1</v>
      </c>
      <c r="H78" s="4">
        <v>2024</v>
      </c>
      <c r="I78" s="4" t="b">
        <f>TRUE()</f>
        <v>1</v>
      </c>
      <c r="J78" s="4" t="b">
        <f>TRUE()</f>
        <v>1</v>
      </c>
    </row>
    <row r="79" spans="1:10">
      <c r="A79" s="4">
        <v>20240318</v>
      </c>
      <c r="B79" s="4" t="s">
        <v>505</v>
      </c>
      <c r="C79" s="4" t="s">
        <v>421</v>
      </c>
      <c r="D79" s="4">
        <v>18</v>
      </c>
      <c r="E79" s="4">
        <v>3</v>
      </c>
      <c r="F79" s="4" t="s">
        <v>63</v>
      </c>
      <c r="G79" s="4">
        <v>1</v>
      </c>
      <c r="H79" s="4">
        <v>2024</v>
      </c>
      <c r="I79" s="4" t="b">
        <f>FALSE()</f>
        <v>0</v>
      </c>
      <c r="J79" s="4" t="b">
        <f>TRUE()</f>
        <v>1</v>
      </c>
    </row>
    <row r="80" spans="1:10">
      <c r="A80" s="4">
        <v>20240319</v>
      </c>
      <c r="B80" s="4" t="s">
        <v>506</v>
      </c>
      <c r="C80" s="4" t="s">
        <v>424</v>
      </c>
      <c r="D80" s="4">
        <v>19</v>
      </c>
      <c r="E80" s="4">
        <v>3</v>
      </c>
      <c r="F80" s="4" t="s">
        <v>63</v>
      </c>
      <c r="G80" s="4">
        <v>1</v>
      </c>
      <c r="H80" s="4">
        <v>2024</v>
      </c>
      <c r="I80" s="4" t="b">
        <f>FALSE()</f>
        <v>0</v>
      </c>
      <c r="J80" s="4" t="b">
        <f>FALSE()</f>
        <v>0</v>
      </c>
    </row>
    <row r="81" spans="1:10">
      <c r="A81" s="4">
        <v>20240320</v>
      </c>
      <c r="B81" s="4" t="s">
        <v>507</v>
      </c>
      <c r="C81" s="4" t="s">
        <v>426</v>
      </c>
      <c r="D81" s="4">
        <v>20</v>
      </c>
      <c r="E81" s="4">
        <v>3</v>
      </c>
      <c r="F81" s="4" t="s">
        <v>63</v>
      </c>
      <c r="G81" s="4">
        <v>1</v>
      </c>
      <c r="H81" s="4">
        <v>2024</v>
      </c>
      <c r="I81" s="4" t="b">
        <f>FALSE()</f>
        <v>0</v>
      </c>
      <c r="J81" s="4" t="b">
        <f>TRUE()</f>
        <v>1</v>
      </c>
    </row>
    <row r="82" spans="1:10">
      <c r="A82" s="4">
        <v>20240321</v>
      </c>
      <c r="B82" s="4" t="s">
        <v>508</v>
      </c>
      <c r="C82" s="4" t="s">
        <v>428</v>
      </c>
      <c r="D82" s="4">
        <v>21</v>
      </c>
      <c r="E82" s="4">
        <v>3</v>
      </c>
      <c r="F82" s="4" t="s">
        <v>63</v>
      </c>
      <c r="G82" s="4">
        <v>1</v>
      </c>
      <c r="H82" s="4">
        <v>2024</v>
      </c>
      <c r="I82" s="4" t="b">
        <f>FALSE()</f>
        <v>0</v>
      </c>
      <c r="J82" s="4" t="b">
        <f>FALSE()</f>
        <v>0</v>
      </c>
    </row>
    <row r="83" spans="1:10">
      <c r="A83" s="4">
        <v>20240322</v>
      </c>
      <c r="B83" s="4" t="s">
        <v>509</v>
      </c>
      <c r="C83" s="4" t="s">
        <v>430</v>
      </c>
      <c r="D83" s="4">
        <v>22</v>
      </c>
      <c r="E83" s="4">
        <v>3</v>
      </c>
      <c r="F83" s="4" t="s">
        <v>63</v>
      </c>
      <c r="G83" s="4">
        <v>1</v>
      </c>
      <c r="H83" s="4">
        <v>2024</v>
      </c>
      <c r="I83" s="4" t="b">
        <f>FALSE()</f>
        <v>0</v>
      </c>
      <c r="J83" s="4" t="b">
        <f>FALSE()</f>
        <v>0</v>
      </c>
    </row>
    <row r="84" spans="1:10">
      <c r="A84" s="4">
        <v>20240323</v>
      </c>
      <c r="B84" s="4" t="s">
        <v>510</v>
      </c>
      <c r="C84" s="4" t="s">
        <v>432</v>
      </c>
      <c r="D84" s="4">
        <v>23</v>
      </c>
      <c r="E84" s="4">
        <v>3</v>
      </c>
      <c r="F84" s="4" t="s">
        <v>63</v>
      </c>
      <c r="G84" s="4">
        <v>1</v>
      </c>
      <c r="H84" s="4">
        <v>2024</v>
      </c>
      <c r="I84" s="4" t="b">
        <f>TRUE()</f>
        <v>1</v>
      </c>
      <c r="J84" s="4" t="b">
        <f>FALSE()</f>
        <v>0</v>
      </c>
    </row>
    <row r="85" spans="1:10">
      <c r="A85" s="4">
        <v>20240324</v>
      </c>
      <c r="B85" s="4" t="s">
        <v>511</v>
      </c>
      <c r="C85" s="4" t="s">
        <v>54</v>
      </c>
      <c r="D85" s="4">
        <v>24</v>
      </c>
      <c r="E85" s="4">
        <v>3</v>
      </c>
      <c r="F85" s="4" t="s">
        <v>63</v>
      </c>
      <c r="G85" s="4">
        <v>1</v>
      </c>
      <c r="H85" s="4">
        <v>2024</v>
      </c>
      <c r="I85" s="4" t="b">
        <f>TRUE()</f>
        <v>1</v>
      </c>
      <c r="J85" s="4" t="b">
        <f>TRUE()</f>
        <v>1</v>
      </c>
    </row>
    <row r="86" spans="1:10">
      <c r="A86" s="4">
        <v>20240325</v>
      </c>
      <c r="B86" s="4" t="s">
        <v>512</v>
      </c>
      <c r="C86" s="4" t="s">
        <v>421</v>
      </c>
      <c r="D86" s="4">
        <v>25</v>
      </c>
      <c r="E86" s="4">
        <v>3</v>
      </c>
      <c r="F86" s="4" t="s">
        <v>63</v>
      </c>
      <c r="G86" s="4">
        <v>1</v>
      </c>
      <c r="H86" s="4">
        <v>2024</v>
      </c>
      <c r="I86" s="4" t="b">
        <f>FALSE()</f>
        <v>0</v>
      </c>
      <c r="J86" s="4" t="b">
        <f>TRUE()</f>
        <v>1</v>
      </c>
    </row>
    <row r="87" spans="1:10">
      <c r="A87" s="4">
        <v>20240326</v>
      </c>
      <c r="B87" s="4" t="s">
        <v>513</v>
      </c>
      <c r="C87" s="4" t="s">
        <v>424</v>
      </c>
      <c r="D87" s="4">
        <v>26</v>
      </c>
      <c r="E87" s="4">
        <v>3</v>
      </c>
      <c r="F87" s="4" t="s">
        <v>63</v>
      </c>
      <c r="G87" s="4">
        <v>1</v>
      </c>
      <c r="H87" s="4">
        <v>2024</v>
      </c>
      <c r="I87" s="4" t="b">
        <f>FALSE()</f>
        <v>0</v>
      </c>
      <c r="J87" s="4" t="b">
        <f>FALSE()</f>
        <v>0</v>
      </c>
    </row>
    <row r="88" spans="1:10">
      <c r="A88" s="4">
        <v>20240327</v>
      </c>
      <c r="B88" s="4" t="s">
        <v>514</v>
      </c>
      <c r="C88" s="4" t="s">
        <v>426</v>
      </c>
      <c r="D88" s="4">
        <v>27</v>
      </c>
      <c r="E88" s="4">
        <v>3</v>
      </c>
      <c r="F88" s="4" t="s">
        <v>63</v>
      </c>
      <c r="G88" s="4">
        <v>1</v>
      </c>
      <c r="H88" s="4">
        <v>2024</v>
      </c>
      <c r="I88" s="4" t="b">
        <f>FALSE()</f>
        <v>0</v>
      </c>
      <c r="J88" s="4" t="b">
        <f>TRUE()</f>
        <v>1</v>
      </c>
    </row>
    <row r="89" spans="1:10">
      <c r="A89" s="4">
        <v>20240328</v>
      </c>
      <c r="B89" s="4" t="s">
        <v>515</v>
      </c>
      <c r="C89" s="4" t="s">
        <v>428</v>
      </c>
      <c r="D89" s="4">
        <v>28</v>
      </c>
      <c r="E89" s="4">
        <v>3</v>
      </c>
      <c r="F89" s="4" t="s">
        <v>63</v>
      </c>
      <c r="G89" s="4">
        <v>1</v>
      </c>
      <c r="H89" s="4">
        <v>2024</v>
      </c>
      <c r="I89" s="4" t="b">
        <f>FALSE()</f>
        <v>0</v>
      </c>
      <c r="J89" s="4" t="b">
        <f>FALSE()</f>
        <v>0</v>
      </c>
    </row>
    <row r="90" spans="1:10">
      <c r="A90" s="4">
        <v>20240329</v>
      </c>
      <c r="B90" s="4" t="s">
        <v>516</v>
      </c>
      <c r="C90" s="4" t="s">
        <v>430</v>
      </c>
      <c r="D90" s="4">
        <v>29</v>
      </c>
      <c r="E90" s="4">
        <v>3</v>
      </c>
      <c r="F90" s="4" t="s">
        <v>63</v>
      </c>
      <c r="G90" s="4">
        <v>1</v>
      </c>
      <c r="H90" s="4">
        <v>2024</v>
      </c>
      <c r="I90" s="4" t="b">
        <f>FALSE()</f>
        <v>0</v>
      </c>
      <c r="J90" s="4" t="b">
        <f>FALSE()</f>
        <v>0</v>
      </c>
    </row>
    <row r="91" spans="1:10">
      <c r="A91" s="4">
        <v>20240330</v>
      </c>
      <c r="B91" s="4" t="s">
        <v>517</v>
      </c>
      <c r="C91" s="4" t="s">
        <v>432</v>
      </c>
      <c r="D91" s="4">
        <v>30</v>
      </c>
      <c r="E91" s="4">
        <v>3</v>
      </c>
      <c r="F91" s="4" t="s">
        <v>63</v>
      </c>
      <c r="G91" s="4">
        <v>1</v>
      </c>
      <c r="H91" s="4">
        <v>2024</v>
      </c>
      <c r="I91" s="4" t="b">
        <f>TRUE()</f>
        <v>1</v>
      </c>
      <c r="J91" s="4" t="b">
        <f>FALSE()</f>
        <v>0</v>
      </c>
    </row>
    <row r="92" spans="1:10">
      <c r="A92" s="4">
        <v>20240331</v>
      </c>
      <c r="B92" s="4" t="s">
        <v>518</v>
      </c>
      <c r="C92" s="4" t="s">
        <v>54</v>
      </c>
      <c r="D92" s="4">
        <v>31</v>
      </c>
      <c r="E92" s="4">
        <v>3</v>
      </c>
      <c r="F92" s="4" t="s">
        <v>63</v>
      </c>
      <c r="G92" s="4">
        <v>1</v>
      </c>
      <c r="H92" s="4">
        <v>2024</v>
      </c>
      <c r="I92" s="4" t="b">
        <f>TRUE()</f>
        <v>1</v>
      </c>
      <c r="J92" s="4" t="b">
        <f>TRUE()</f>
        <v>1</v>
      </c>
    </row>
    <row r="93" spans="1:10">
      <c r="A93" s="4">
        <v>20240401</v>
      </c>
      <c r="B93" s="4" t="s">
        <v>519</v>
      </c>
      <c r="C93" s="4" t="s">
        <v>421</v>
      </c>
      <c r="D93" s="4">
        <v>1</v>
      </c>
      <c r="E93" s="4">
        <v>4</v>
      </c>
      <c r="F93" s="4" t="s">
        <v>520</v>
      </c>
      <c r="G93" s="4">
        <v>2</v>
      </c>
      <c r="H93" s="4">
        <v>2024</v>
      </c>
      <c r="I93" s="4" t="b">
        <f>FALSE()</f>
        <v>0</v>
      </c>
      <c r="J93" s="4" t="b">
        <f>TRUE()</f>
        <v>1</v>
      </c>
    </row>
    <row r="94" spans="1:10">
      <c r="A94" s="4">
        <v>20240402</v>
      </c>
      <c r="B94" s="4" t="s">
        <v>521</v>
      </c>
      <c r="C94" s="4" t="s">
        <v>424</v>
      </c>
      <c r="D94" s="4">
        <v>2</v>
      </c>
      <c r="E94" s="4">
        <v>4</v>
      </c>
      <c r="F94" s="4" t="s">
        <v>520</v>
      </c>
      <c r="G94" s="4">
        <v>2</v>
      </c>
      <c r="H94" s="4">
        <v>2024</v>
      </c>
      <c r="I94" s="4" t="b">
        <f>FALSE()</f>
        <v>0</v>
      </c>
      <c r="J94" s="4" t="b">
        <f>FALSE()</f>
        <v>0</v>
      </c>
    </row>
    <row r="95" spans="1:10">
      <c r="A95" s="4">
        <v>20240403</v>
      </c>
      <c r="B95" s="4" t="s">
        <v>522</v>
      </c>
      <c r="C95" s="4" t="s">
        <v>426</v>
      </c>
      <c r="D95" s="4">
        <v>3</v>
      </c>
      <c r="E95" s="4">
        <v>4</v>
      </c>
      <c r="F95" s="4" t="s">
        <v>520</v>
      </c>
      <c r="G95" s="4">
        <v>2</v>
      </c>
      <c r="H95" s="4">
        <v>2024</v>
      </c>
      <c r="I95" s="4" t="b">
        <f>FALSE()</f>
        <v>0</v>
      </c>
      <c r="J95" s="4" t="b">
        <f>TRUE()</f>
        <v>1</v>
      </c>
    </row>
    <row r="96" spans="1:10">
      <c r="A96" s="4">
        <v>20240404</v>
      </c>
      <c r="B96" s="4" t="s">
        <v>523</v>
      </c>
      <c r="C96" s="4" t="s">
        <v>428</v>
      </c>
      <c r="D96" s="4">
        <v>4</v>
      </c>
      <c r="E96" s="4">
        <v>4</v>
      </c>
      <c r="F96" s="4" t="s">
        <v>520</v>
      </c>
      <c r="G96" s="4">
        <v>2</v>
      </c>
      <c r="H96" s="4">
        <v>2024</v>
      </c>
      <c r="I96" s="4" t="b">
        <f>FALSE()</f>
        <v>0</v>
      </c>
      <c r="J96" s="4" t="b">
        <f>FALSE()</f>
        <v>0</v>
      </c>
    </row>
    <row r="97" spans="1:10">
      <c r="A97" s="4">
        <v>20240405</v>
      </c>
      <c r="B97" s="4" t="s">
        <v>524</v>
      </c>
      <c r="C97" s="4" t="s">
        <v>430</v>
      </c>
      <c r="D97" s="4">
        <v>5</v>
      </c>
      <c r="E97" s="4">
        <v>4</v>
      </c>
      <c r="F97" s="4" t="s">
        <v>520</v>
      </c>
      <c r="G97" s="4">
        <v>2</v>
      </c>
      <c r="H97" s="4">
        <v>2024</v>
      </c>
      <c r="I97" s="4" t="b">
        <f>FALSE()</f>
        <v>0</v>
      </c>
      <c r="J97" s="4" t="b">
        <f>FALSE()</f>
        <v>0</v>
      </c>
    </row>
    <row r="98" spans="1:10">
      <c r="A98" s="4">
        <v>20240406</v>
      </c>
      <c r="B98" s="4" t="s">
        <v>525</v>
      </c>
      <c r="C98" s="4" t="s">
        <v>432</v>
      </c>
      <c r="D98" s="4">
        <v>6</v>
      </c>
      <c r="E98" s="4">
        <v>4</v>
      </c>
      <c r="F98" s="4" t="s">
        <v>520</v>
      </c>
      <c r="G98" s="4">
        <v>2</v>
      </c>
      <c r="H98" s="4">
        <v>2024</v>
      </c>
      <c r="I98" s="4" t="b">
        <f>TRUE()</f>
        <v>1</v>
      </c>
      <c r="J98" s="4" t="b">
        <f>FALSE()</f>
        <v>0</v>
      </c>
    </row>
    <row r="99" spans="1:10">
      <c r="A99" s="4">
        <v>20240407</v>
      </c>
      <c r="B99" s="4" t="s">
        <v>526</v>
      </c>
      <c r="C99" s="4" t="s">
        <v>54</v>
      </c>
      <c r="D99" s="4">
        <v>7</v>
      </c>
      <c r="E99" s="4">
        <v>4</v>
      </c>
      <c r="F99" s="4" t="s">
        <v>520</v>
      </c>
      <c r="G99" s="4">
        <v>2</v>
      </c>
      <c r="H99" s="4">
        <v>2024</v>
      </c>
      <c r="I99" s="4" t="b">
        <f>TRUE()</f>
        <v>1</v>
      </c>
      <c r="J99" s="4" t="b">
        <f>TRUE()</f>
        <v>1</v>
      </c>
    </row>
    <row r="100" spans="1:10">
      <c r="A100" s="4">
        <v>20240408</v>
      </c>
      <c r="B100" s="4" t="s">
        <v>527</v>
      </c>
      <c r="C100" s="4" t="s">
        <v>421</v>
      </c>
      <c r="D100" s="4">
        <v>8</v>
      </c>
      <c r="E100" s="4">
        <v>4</v>
      </c>
      <c r="F100" s="4" t="s">
        <v>520</v>
      </c>
      <c r="G100" s="4">
        <v>2</v>
      </c>
      <c r="H100" s="4">
        <v>2024</v>
      </c>
      <c r="I100" s="4" t="b">
        <f>FALSE()</f>
        <v>0</v>
      </c>
      <c r="J100" s="4" t="b">
        <f>TRUE()</f>
        <v>1</v>
      </c>
    </row>
    <row r="101" spans="1:10">
      <c r="A101" s="4">
        <v>20240409</v>
      </c>
      <c r="B101" s="4" t="s">
        <v>528</v>
      </c>
      <c r="C101" s="4" t="s">
        <v>424</v>
      </c>
      <c r="D101" s="4">
        <v>9</v>
      </c>
      <c r="E101" s="4">
        <v>4</v>
      </c>
      <c r="F101" s="4" t="s">
        <v>520</v>
      </c>
      <c r="G101" s="4">
        <v>2</v>
      </c>
      <c r="H101" s="4">
        <v>2024</v>
      </c>
      <c r="I101" s="4" t="b">
        <f>FALSE()</f>
        <v>0</v>
      </c>
      <c r="J101" s="4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zoomScaleNormal="100" workbookViewId="0">
      <pane ySplit="1" topLeftCell="A2" activePane="bottomLeft" state="frozen"/>
      <selection activeCell="A55" sqref="A55"/>
      <selection pane="bottomLeft" activeCell="A55" sqref="A55"/>
    </sheetView>
  </sheetViews>
  <sheetFormatPr defaultColWidth="8.68359375" defaultRowHeight="14.4"/>
  <cols>
    <col min="1" max="1" width="19" customWidth="1"/>
    <col min="2" max="2" width="21" customWidth="1"/>
    <col min="3" max="3" width="19" customWidth="1"/>
  </cols>
  <sheetData>
    <row r="1" spans="1:3">
      <c r="A1" s="3" t="s">
        <v>74</v>
      </c>
      <c r="B1" s="3" t="s">
        <v>75</v>
      </c>
      <c r="C1" s="3" t="s">
        <v>77</v>
      </c>
    </row>
    <row r="2" spans="1:3">
      <c r="A2" s="4">
        <v>1</v>
      </c>
      <c r="B2" s="4" t="s">
        <v>76</v>
      </c>
      <c r="C2" s="4" t="s">
        <v>79</v>
      </c>
    </row>
    <row r="3" spans="1:3">
      <c r="A3" s="4">
        <v>2</v>
      </c>
      <c r="B3" s="4" t="s">
        <v>529</v>
      </c>
      <c r="C3" s="4" t="s">
        <v>79</v>
      </c>
    </row>
    <row r="4" spans="1:3">
      <c r="A4" s="4">
        <v>3</v>
      </c>
      <c r="B4" s="4" t="s">
        <v>530</v>
      </c>
      <c r="C4" s="4" t="s">
        <v>79</v>
      </c>
    </row>
    <row r="5" spans="1:3">
      <c r="A5" s="4">
        <v>4</v>
      </c>
      <c r="B5" s="4" t="s">
        <v>531</v>
      </c>
      <c r="C5" s="4" t="s">
        <v>532</v>
      </c>
    </row>
    <row r="6" spans="1:3">
      <c r="A6" s="4">
        <v>5</v>
      </c>
      <c r="B6" s="4" t="s">
        <v>533</v>
      </c>
      <c r="C6" s="4" t="s">
        <v>532</v>
      </c>
    </row>
    <row r="7" spans="1:3">
      <c r="A7" s="4">
        <v>6</v>
      </c>
      <c r="B7" s="4" t="s">
        <v>534</v>
      </c>
      <c r="C7" s="4" t="s">
        <v>532</v>
      </c>
    </row>
    <row r="8" spans="1:3">
      <c r="A8" s="4">
        <v>7</v>
      </c>
      <c r="B8" s="4" t="s">
        <v>535</v>
      </c>
      <c r="C8" s="4" t="s">
        <v>532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zoomScaleNormal="100" workbookViewId="0">
      <pane ySplit="1" topLeftCell="A2" activePane="bottomLeft" state="frozen"/>
      <selection activeCell="A55" sqref="A55"/>
      <selection pane="bottomLeft" activeCell="A55" sqref="A55"/>
    </sheetView>
  </sheetViews>
  <sheetFormatPr defaultColWidth="8.68359375" defaultRowHeight="14.4"/>
  <cols>
    <col min="1" max="1" width="16" customWidth="1"/>
    <col min="2" max="2" width="15" customWidth="1"/>
    <col min="3" max="3" width="14" customWidth="1"/>
    <col min="4" max="4" width="19" customWidth="1"/>
    <col min="5" max="6" width="14" customWidth="1"/>
    <col min="7" max="7" width="31" customWidth="1"/>
    <col min="8" max="8" width="23" customWidth="1"/>
    <col min="9" max="9" width="14" customWidth="1"/>
    <col min="10" max="10" width="20" customWidth="1"/>
  </cols>
  <sheetData>
    <row r="1" spans="1:10">
      <c r="A1" s="3" t="s">
        <v>80</v>
      </c>
      <c r="B1" s="3" t="s">
        <v>6</v>
      </c>
      <c r="C1" s="3" t="s">
        <v>34</v>
      </c>
      <c r="D1" s="3" t="s">
        <v>74</v>
      </c>
      <c r="E1" s="3" t="s">
        <v>85</v>
      </c>
      <c r="F1" s="3" t="s">
        <v>87</v>
      </c>
      <c r="G1" s="3" t="s">
        <v>90</v>
      </c>
      <c r="H1" s="3" t="s">
        <v>94</v>
      </c>
      <c r="I1" s="3" t="s">
        <v>96</v>
      </c>
      <c r="J1" s="3" t="s">
        <v>99</v>
      </c>
    </row>
    <row r="2" spans="1:10">
      <c r="A2" s="4">
        <v>5001</v>
      </c>
      <c r="B2" s="4">
        <v>1045</v>
      </c>
      <c r="C2" s="4">
        <v>15</v>
      </c>
      <c r="D2" s="4">
        <v>3</v>
      </c>
      <c r="E2" s="4" t="s">
        <v>536</v>
      </c>
      <c r="F2" s="4" t="s">
        <v>537</v>
      </c>
      <c r="G2" s="4">
        <v>15000</v>
      </c>
      <c r="H2" s="4">
        <v>1703.66</v>
      </c>
      <c r="I2" s="4" t="s">
        <v>538</v>
      </c>
      <c r="J2" s="4">
        <v>13296.34</v>
      </c>
    </row>
    <row r="3" spans="1:10">
      <c r="A3" s="4">
        <v>5002</v>
      </c>
      <c r="B3" s="4">
        <v>1035</v>
      </c>
      <c r="C3" s="4">
        <v>6</v>
      </c>
      <c r="D3" s="4">
        <v>2</v>
      </c>
      <c r="E3" s="4" t="s">
        <v>539</v>
      </c>
      <c r="F3" s="4"/>
      <c r="G3" s="4">
        <v>30000</v>
      </c>
      <c r="H3" s="4">
        <v>27833.3</v>
      </c>
      <c r="I3" s="4" t="s">
        <v>540</v>
      </c>
      <c r="J3" s="4">
        <v>2166.6999999999998</v>
      </c>
    </row>
    <row r="4" spans="1:10">
      <c r="A4" s="4">
        <v>5003</v>
      </c>
      <c r="B4" s="4">
        <v>1007</v>
      </c>
      <c r="C4" s="4">
        <v>7</v>
      </c>
      <c r="D4" s="4">
        <v>3</v>
      </c>
      <c r="E4" s="4" t="s">
        <v>541</v>
      </c>
      <c r="F4" s="4"/>
      <c r="G4" s="4">
        <v>50000</v>
      </c>
      <c r="H4" s="4">
        <v>25371.42</v>
      </c>
      <c r="I4" s="4" t="s">
        <v>542</v>
      </c>
      <c r="J4" s="4">
        <v>24628.58</v>
      </c>
    </row>
    <row r="5" spans="1:10">
      <c r="A5" s="4">
        <v>5004</v>
      </c>
      <c r="B5" s="4">
        <v>1004</v>
      </c>
      <c r="C5" s="4">
        <v>18</v>
      </c>
      <c r="D5" s="4">
        <v>3</v>
      </c>
      <c r="E5" s="4" t="s">
        <v>543</v>
      </c>
      <c r="F5" s="4"/>
      <c r="G5" s="4">
        <v>5000</v>
      </c>
      <c r="H5" s="4">
        <v>4145.42</v>
      </c>
      <c r="I5" s="4" t="s">
        <v>540</v>
      </c>
      <c r="J5" s="4">
        <v>854.58</v>
      </c>
    </row>
    <row r="6" spans="1:10">
      <c r="A6" s="4">
        <v>5005</v>
      </c>
      <c r="B6" s="4">
        <v>1031</v>
      </c>
      <c r="C6" s="4">
        <v>15</v>
      </c>
      <c r="D6" s="4">
        <v>3</v>
      </c>
      <c r="E6" s="4" t="s">
        <v>544</v>
      </c>
      <c r="F6" s="4"/>
      <c r="G6" s="4">
        <v>20000</v>
      </c>
      <c r="H6" s="4">
        <v>2167.66</v>
      </c>
      <c r="I6" s="4" t="s">
        <v>98</v>
      </c>
      <c r="J6" s="4">
        <v>17832.34</v>
      </c>
    </row>
    <row r="7" spans="1:10">
      <c r="A7" s="4">
        <v>5006</v>
      </c>
      <c r="B7" s="4">
        <v>1005</v>
      </c>
      <c r="C7" s="4">
        <v>19</v>
      </c>
      <c r="D7" s="4">
        <v>6</v>
      </c>
      <c r="E7" s="4" t="s">
        <v>545</v>
      </c>
      <c r="F7" s="4"/>
      <c r="G7" s="4">
        <v>150000</v>
      </c>
      <c r="H7" s="4">
        <v>18360.57</v>
      </c>
      <c r="I7" s="4" t="s">
        <v>98</v>
      </c>
      <c r="J7" s="4"/>
    </row>
    <row r="8" spans="1:10">
      <c r="A8" s="4">
        <v>5007</v>
      </c>
      <c r="B8" s="4">
        <v>1049</v>
      </c>
      <c r="C8" s="4">
        <v>14</v>
      </c>
      <c r="D8" s="4">
        <v>5</v>
      </c>
      <c r="E8" s="4" t="s">
        <v>546</v>
      </c>
      <c r="F8" s="4"/>
      <c r="G8" s="4">
        <v>300000</v>
      </c>
      <c r="H8" s="4">
        <v>129881.19</v>
      </c>
      <c r="I8" s="4" t="s">
        <v>98</v>
      </c>
      <c r="J8" s="4"/>
    </row>
    <row r="9" spans="1:10">
      <c r="A9" s="4">
        <v>5008</v>
      </c>
      <c r="B9" s="4">
        <v>1038</v>
      </c>
      <c r="C9" s="4">
        <v>14</v>
      </c>
      <c r="D9" s="4">
        <v>3</v>
      </c>
      <c r="E9" s="4" t="s">
        <v>547</v>
      </c>
      <c r="F9" s="4"/>
      <c r="G9" s="4">
        <v>50000</v>
      </c>
      <c r="H9" s="4">
        <v>4713.59</v>
      </c>
      <c r="I9" s="4" t="s">
        <v>98</v>
      </c>
      <c r="J9" s="4">
        <v>45286.41</v>
      </c>
    </row>
    <row r="10" spans="1:10">
      <c r="A10" s="4">
        <v>5009</v>
      </c>
      <c r="B10" s="4">
        <v>1017</v>
      </c>
      <c r="C10" s="4">
        <v>3</v>
      </c>
      <c r="D10" s="4">
        <v>2</v>
      </c>
      <c r="E10" s="4" t="s">
        <v>548</v>
      </c>
      <c r="F10" s="4" t="s">
        <v>549</v>
      </c>
      <c r="G10" s="4">
        <v>20000</v>
      </c>
      <c r="H10" s="4">
        <v>8559.57</v>
      </c>
      <c r="I10" s="4" t="s">
        <v>538</v>
      </c>
      <c r="J10" s="4">
        <v>11440.43</v>
      </c>
    </row>
    <row r="11" spans="1:10">
      <c r="A11" s="4">
        <v>5010</v>
      </c>
      <c r="B11" s="4">
        <v>1039</v>
      </c>
      <c r="C11" s="4">
        <v>16</v>
      </c>
      <c r="D11" s="4">
        <v>3</v>
      </c>
      <c r="E11" s="4" t="s">
        <v>550</v>
      </c>
      <c r="F11" s="4"/>
      <c r="G11" s="4">
        <v>50000</v>
      </c>
      <c r="H11" s="4">
        <v>40831.32</v>
      </c>
      <c r="I11" s="4" t="s">
        <v>98</v>
      </c>
      <c r="J11" s="4">
        <v>9168.68</v>
      </c>
    </row>
    <row r="12" spans="1:10">
      <c r="A12" s="4">
        <v>5011</v>
      </c>
      <c r="B12" s="4">
        <v>1060</v>
      </c>
      <c r="C12" s="4">
        <v>9</v>
      </c>
      <c r="D12" s="4">
        <v>7</v>
      </c>
      <c r="E12" s="4" t="s">
        <v>551</v>
      </c>
      <c r="F12" s="4"/>
      <c r="G12" s="4">
        <v>300000</v>
      </c>
      <c r="H12" s="4">
        <v>44267.96</v>
      </c>
      <c r="I12" s="4" t="s">
        <v>98</v>
      </c>
      <c r="J12" s="4"/>
    </row>
    <row r="13" spans="1:10">
      <c r="A13" s="4">
        <v>5012</v>
      </c>
      <c r="B13" s="4">
        <v>1059</v>
      </c>
      <c r="C13" s="4">
        <v>9</v>
      </c>
      <c r="D13" s="4">
        <v>7</v>
      </c>
      <c r="E13" s="4" t="s">
        <v>552</v>
      </c>
      <c r="F13" s="4"/>
      <c r="G13" s="4">
        <v>150000</v>
      </c>
      <c r="H13" s="4">
        <v>83368.11</v>
      </c>
      <c r="I13" s="4" t="s">
        <v>540</v>
      </c>
      <c r="J13" s="4"/>
    </row>
    <row r="14" spans="1:10">
      <c r="A14" s="4">
        <v>5013</v>
      </c>
      <c r="B14" s="4">
        <v>1029</v>
      </c>
      <c r="C14" s="4">
        <v>4</v>
      </c>
      <c r="D14" s="4">
        <v>4</v>
      </c>
      <c r="E14" s="4" t="s">
        <v>553</v>
      </c>
      <c r="F14" s="4"/>
      <c r="G14" s="4">
        <v>600000</v>
      </c>
      <c r="H14" s="4">
        <v>305390.59999999998</v>
      </c>
      <c r="I14" s="4" t="s">
        <v>98</v>
      </c>
      <c r="J14" s="4"/>
    </row>
    <row r="15" spans="1:10">
      <c r="A15" s="4">
        <v>5014</v>
      </c>
      <c r="B15" s="4">
        <v>1003</v>
      </c>
      <c r="C15" s="4">
        <v>14</v>
      </c>
      <c r="D15" s="4">
        <v>6</v>
      </c>
      <c r="E15" s="4" t="s">
        <v>554</v>
      </c>
      <c r="F15" s="4" t="s">
        <v>555</v>
      </c>
      <c r="G15" s="4">
        <v>900000</v>
      </c>
      <c r="H15" s="4">
        <v>684508.34</v>
      </c>
      <c r="I15" s="4" t="s">
        <v>538</v>
      </c>
      <c r="J15" s="4"/>
    </row>
    <row r="16" spans="1:10">
      <c r="A16" s="4">
        <v>5015</v>
      </c>
      <c r="B16" s="4">
        <v>1037</v>
      </c>
      <c r="C16" s="4">
        <v>19</v>
      </c>
      <c r="D16" s="4">
        <v>1</v>
      </c>
      <c r="E16" s="4" t="s">
        <v>556</v>
      </c>
      <c r="F16" s="4"/>
      <c r="G16" s="4">
        <v>10000</v>
      </c>
      <c r="H16" s="4">
        <v>4469.76</v>
      </c>
      <c r="I16" s="4" t="s">
        <v>557</v>
      </c>
      <c r="J16" s="4">
        <v>5530.24</v>
      </c>
    </row>
    <row r="17" spans="1:10">
      <c r="A17" s="4">
        <v>5016</v>
      </c>
      <c r="B17" s="4">
        <v>1018</v>
      </c>
      <c r="C17" s="4">
        <v>6</v>
      </c>
      <c r="D17" s="4">
        <v>5</v>
      </c>
      <c r="E17" s="4" t="s">
        <v>558</v>
      </c>
      <c r="F17" s="4"/>
      <c r="G17" s="4">
        <v>50000</v>
      </c>
      <c r="H17" s="4">
        <v>22475.439999999999</v>
      </c>
      <c r="I17" s="4" t="s">
        <v>98</v>
      </c>
      <c r="J17" s="4"/>
    </row>
    <row r="18" spans="1:10">
      <c r="A18" s="4">
        <v>5017</v>
      </c>
      <c r="B18" s="4">
        <v>1043</v>
      </c>
      <c r="C18" s="4">
        <v>4</v>
      </c>
      <c r="D18" s="4">
        <v>7</v>
      </c>
      <c r="E18" s="4" t="s">
        <v>559</v>
      </c>
      <c r="F18" s="4"/>
      <c r="G18" s="4">
        <v>150000</v>
      </c>
      <c r="H18" s="4">
        <v>91979.4</v>
      </c>
      <c r="I18" s="4" t="s">
        <v>98</v>
      </c>
      <c r="J18" s="4"/>
    </row>
    <row r="19" spans="1:10">
      <c r="A19" s="4">
        <v>5018</v>
      </c>
      <c r="B19" s="4">
        <v>1036</v>
      </c>
      <c r="C19" s="4">
        <v>2</v>
      </c>
      <c r="D19" s="4">
        <v>4</v>
      </c>
      <c r="E19" s="4" t="s">
        <v>560</v>
      </c>
      <c r="F19" s="4"/>
      <c r="G19" s="4">
        <v>300000</v>
      </c>
      <c r="H19" s="4">
        <v>235552.2</v>
      </c>
      <c r="I19" s="4" t="s">
        <v>98</v>
      </c>
      <c r="J19" s="4"/>
    </row>
    <row r="20" spans="1:10">
      <c r="A20" s="4">
        <v>5019</v>
      </c>
      <c r="B20" s="4">
        <v>1035</v>
      </c>
      <c r="C20" s="4">
        <v>15</v>
      </c>
      <c r="D20" s="4">
        <v>4</v>
      </c>
      <c r="E20" s="4" t="s">
        <v>561</v>
      </c>
      <c r="F20" s="4"/>
      <c r="G20" s="4">
        <v>300000</v>
      </c>
      <c r="H20" s="4">
        <v>174479.23</v>
      </c>
      <c r="I20" s="4" t="s">
        <v>98</v>
      </c>
      <c r="J20" s="4"/>
    </row>
    <row r="21" spans="1:10">
      <c r="A21" s="4">
        <v>5020</v>
      </c>
      <c r="B21" s="4">
        <v>1036</v>
      </c>
      <c r="C21" s="4">
        <v>5</v>
      </c>
      <c r="D21" s="4">
        <v>3</v>
      </c>
      <c r="E21" s="4" t="s">
        <v>562</v>
      </c>
      <c r="F21" s="4" t="s">
        <v>563</v>
      </c>
      <c r="G21" s="4">
        <v>30000</v>
      </c>
      <c r="H21" s="4">
        <v>22780.44</v>
      </c>
      <c r="I21" s="4" t="s">
        <v>538</v>
      </c>
      <c r="J21" s="4">
        <v>7219.56</v>
      </c>
    </row>
    <row r="22" spans="1:10">
      <c r="A22" s="4">
        <v>5021</v>
      </c>
      <c r="B22" s="4">
        <v>1046</v>
      </c>
      <c r="C22" s="4">
        <v>6</v>
      </c>
      <c r="D22" s="4">
        <v>3</v>
      </c>
      <c r="E22" s="4" t="s">
        <v>564</v>
      </c>
      <c r="F22" s="4"/>
      <c r="G22" s="4">
        <v>10000</v>
      </c>
      <c r="H22" s="4">
        <v>9426.44</v>
      </c>
      <c r="I22" s="4" t="s">
        <v>98</v>
      </c>
      <c r="J22" s="4">
        <v>573.55999999999995</v>
      </c>
    </row>
    <row r="23" spans="1:10">
      <c r="A23" s="4">
        <v>5022</v>
      </c>
      <c r="B23" s="4">
        <v>1008</v>
      </c>
      <c r="C23" s="4">
        <v>5</v>
      </c>
      <c r="D23" s="4">
        <v>4</v>
      </c>
      <c r="E23" s="4" t="s">
        <v>565</v>
      </c>
      <c r="F23" s="4"/>
      <c r="G23" s="4">
        <v>300000</v>
      </c>
      <c r="H23" s="4">
        <v>264962.38</v>
      </c>
      <c r="I23" s="4" t="s">
        <v>98</v>
      </c>
      <c r="J23" s="4"/>
    </row>
    <row r="24" spans="1:10">
      <c r="A24" s="4">
        <v>5023</v>
      </c>
      <c r="B24" s="4">
        <v>1010</v>
      </c>
      <c r="C24" s="4">
        <v>13</v>
      </c>
      <c r="D24" s="4">
        <v>2</v>
      </c>
      <c r="E24" s="4" t="s">
        <v>566</v>
      </c>
      <c r="F24" s="4"/>
      <c r="G24" s="4">
        <v>5000</v>
      </c>
      <c r="H24" s="4">
        <v>1312.18</v>
      </c>
      <c r="I24" s="4" t="s">
        <v>98</v>
      </c>
      <c r="J24" s="4">
        <v>3687.82</v>
      </c>
    </row>
    <row r="25" spans="1:10">
      <c r="A25" s="4">
        <v>5024</v>
      </c>
      <c r="B25" s="4">
        <v>1051</v>
      </c>
      <c r="C25" s="4">
        <v>17</v>
      </c>
      <c r="D25" s="4">
        <v>3</v>
      </c>
      <c r="E25" s="4" t="s">
        <v>567</v>
      </c>
      <c r="F25" s="4"/>
      <c r="G25" s="4">
        <v>30000</v>
      </c>
      <c r="H25" s="4">
        <v>16527.82</v>
      </c>
      <c r="I25" s="4" t="s">
        <v>557</v>
      </c>
      <c r="J25" s="4">
        <v>13472.18</v>
      </c>
    </row>
    <row r="26" spans="1:10">
      <c r="A26" s="4">
        <v>5025</v>
      </c>
      <c r="B26" s="4">
        <v>1010</v>
      </c>
      <c r="C26" s="4">
        <v>15</v>
      </c>
      <c r="D26" s="4">
        <v>5</v>
      </c>
      <c r="E26" s="4" t="s">
        <v>568</v>
      </c>
      <c r="F26" s="4"/>
      <c r="G26" s="4">
        <v>600000</v>
      </c>
      <c r="H26" s="4">
        <v>222377.13</v>
      </c>
      <c r="I26" s="4" t="s">
        <v>98</v>
      </c>
      <c r="J26" s="4"/>
    </row>
    <row r="27" spans="1:10">
      <c r="A27" s="4">
        <v>5026</v>
      </c>
      <c r="B27" s="4">
        <v>1045</v>
      </c>
      <c r="C27" s="4">
        <v>8</v>
      </c>
      <c r="D27" s="4">
        <v>5</v>
      </c>
      <c r="E27" s="4" t="s">
        <v>569</v>
      </c>
      <c r="F27" s="4"/>
      <c r="G27" s="4">
        <v>50000</v>
      </c>
      <c r="H27" s="4">
        <v>16022.49</v>
      </c>
      <c r="I27" s="4" t="s">
        <v>98</v>
      </c>
      <c r="J27" s="4"/>
    </row>
    <row r="28" spans="1:10">
      <c r="A28" s="4">
        <v>5027</v>
      </c>
      <c r="B28" s="4">
        <v>1052</v>
      </c>
      <c r="C28" s="4">
        <v>13</v>
      </c>
      <c r="D28" s="4">
        <v>4</v>
      </c>
      <c r="E28" s="4" t="s">
        <v>570</v>
      </c>
      <c r="F28" s="4" t="s">
        <v>571</v>
      </c>
      <c r="G28" s="4">
        <v>150000</v>
      </c>
      <c r="H28" s="4">
        <v>118386.79</v>
      </c>
      <c r="I28" s="4" t="s">
        <v>538</v>
      </c>
      <c r="J28" s="4"/>
    </row>
    <row r="29" spans="1:10">
      <c r="A29" s="4">
        <v>5028</v>
      </c>
      <c r="B29" s="4">
        <v>1056</v>
      </c>
      <c r="C29" s="4">
        <v>15</v>
      </c>
      <c r="D29" s="4">
        <v>1</v>
      </c>
      <c r="E29" s="4" t="s">
        <v>572</v>
      </c>
      <c r="F29" s="4"/>
      <c r="G29" s="4">
        <v>20000</v>
      </c>
      <c r="H29" s="4">
        <v>16547.73</v>
      </c>
      <c r="I29" s="4" t="s">
        <v>98</v>
      </c>
      <c r="J29" s="4">
        <v>3452.27</v>
      </c>
    </row>
    <row r="30" spans="1:10">
      <c r="A30" s="4">
        <v>5029</v>
      </c>
      <c r="B30" s="4">
        <v>1051</v>
      </c>
      <c r="C30" s="4">
        <v>9</v>
      </c>
      <c r="D30" s="4">
        <v>3</v>
      </c>
      <c r="E30" s="4" t="s">
        <v>573</v>
      </c>
      <c r="F30" s="4"/>
      <c r="G30" s="4">
        <v>15000</v>
      </c>
      <c r="H30" s="4">
        <v>12145.86</v>
      </c>
      <c r="I30" s="4" t="s">
        <v>540</v>
      </c>
      <c r="J30" s="4">
        <v>2854.14</v>
      </c>
    </row>
    <row r="31" spans="1:10">
      <c r="A31" s="4">
        <v>5030</v>
      </c>
      <c r="B31" s="4">
        <v>1021</v>
      </c>
      <c r="C31" s="4">
        <v>16</v>
      </c>
      <c r="D31" s="4">
        <v>7</v>
      </c>
      <c r="E31" s="4" t="s">
        <v>574</v>
      </c>
      <c r="F31" s="4" t="s">
        <v>563</v>
      </c>
      <c r="G31" s="4">
        <v>900000</v>
      </c>
      <c r="H31" s="4">
        <v>749510.76</v>
      </c>
      <c r="I31" s="4" t="s">
        <v>538</v>
      </c>
      <c r="J31" s="4"/>
    </row>
    <row r="32" spans="1:10">
      <c r="A32" s="4">
        <v>5031</v>
      </c>
      <c r="B32" s="4">
        <v>1015</v>
      </c>
      <c r="C32" s="4">
        <v>3</v>
      </c>
      <c r="D32" s="4">
        <v>4</v>
      </c>
      <c r="E32" s="4" t="s">
        <v>575</v>
      </c>
      <c r="F32" s="4"/>
      <c r="G32" s="4">
        <v>300000</v>
      </c>
      <c r="H32" s="4">
        <v>57423.02</v>
      </c>
      <c r="I32" s="4" t="s">
        <v>98</v>
      </c>
      <c r="J32" s="4"/>
    </row>
    <row r="33" spans="1:10">
      <c r="A33" s="4">
        <v>5032</v>
      </c>
      <c r="B33" s="4">
        <v>1003</v>
      </c>
      <c r="C33" s="4">
        <v>11</v>
      </c>
      <c r="D33" s="4">
        <v>7</v>
      </c>
      <c r="E33" s="4" t="s">
        <v>576</v>
      </c>
      <c r="F33" s="4"/>
      <c r="G33" s="4">
        <v>80000</v>
      </c>
      <c r="H33" s="4">
        <v>20605.43</v>
      </c>
      <c r="I33" s="4" t="s">
        <v>98</v>
      </c>
      <c r="J33" s="4"/>
    </row>
    <row r="34" spans="1:10">
      <c r="A34" s="4">
        <v>5033</v>
      </c>
      <c r="B34" s="4">
        <v>1051</v>
      </c>
      <c r="C34" s="4">
        <v>6</v>
      </c>
      <c r="D34" s="4">
        <v>2</v>
      </c>
      <c r="E34" s="4" t="s">
        <v>577</v>
      </c>
      <c r="F34" s="4"/>
      <c r="G34" s="4">
        <v>30000</v>
      </c>
      <c r="H34" s="4">
        <v>19469.34</v>
      </c>
      <c r="I34" s="4" t="s">
        <v>98</v>
      </c>
      <c r="J34" s="4">
        <v>10530.66</v>
      </c>
    </row>
    <row r="35" spans="1:10">
      <c r="A35" s="4">
        <v>5034</v>
      </c>
      <c r="B35" s="4">
        <v>1010</v>
      </c>
      <c r="C35" s="4">
        <v>8</v>
      </c>
      <c r="D35" s="4">
        <v>4</v>
      </c>
      <c r="E35" s="4" t="s">
        <v>344</v>
      </c>
      <c r="F35" s="4"/>
      <c r="G35" s="4">
        <v>300000</v>
      </c>
      <c r="H35" s="4">
        <v>244808.4</v>
      </c>
      <c r="I35" s="4" t="s">
        <v>557</v>
      </c>
      <c r="J35" s="4"/>
    </row>
    <row r="36" spans="1:10">
      <c r="A36" s="4">
        <v>5035</v>
      </c>
      <c r="B36" s="4">
        <v>1005</v>
      </c>
      <c r="C36" s="4">
        <v>15</v>
      </c>
      <c r="D36" s="4">
        <v>3</v>
      </c>
      <c r="E36" s="4" t="s">
        <v>578</v>
      </c>
      <c r="F36" s="4"/>
      <c r="G36" s="4">
        <v>50000</v>
      </c>
      <c r="H36" s="4">
        <v>11879.67</v>
      </c>
      <c r="I36" s="4" t="s">
        <v>98</v>
      </c>
      <c r="J36" s="4">
        <v>38120.33</v>
      </c>
    </row>
    <row r="37" spans="1:10">
      <c r="A37" s="4">
        <v>5036</v>
      </c>
      <c r="B37" s="4">
        <v>1025</v>
      </c>
      <c r="C37" s="4">
        <v>16</v>
      </c>
      <c r="D37" s="4">
        <v>1</v>
      </c>
      <c r="E37" s="4" t="s">
        <v>579</v>
      </c>
      <c r="F37" s="4"/>
      <c r="G37" s="4">
        <v>15000</v>
      </c>
      <c r="H37" s="4">
        <v>14145.86</v>
      </c>
      <c r="I37" s="4" t="s">
        <v>542</v>
      </c>
      <c r="J37" s="4">
        <v>854.14</v>
      </c>
    </row>
    <row r="38" spans="1:10">
      <c r="A38" s="4">
        <v>5037</v>
      </c>
      <c r="B38" s="4">
        <v>1054</v>
      </c>
      <c r="C38" s="4">
        <v>13</v>
      </c>
      <c r="D38" s="4">
        <v>3</v>
      </c>
      <c r="E38" s="4" t="s">
        <v>580</v>
      </c>
      <c r="F38" s="4"/>
      <c r="G38" s="4">
        <v>50000</v>
      </c>
      <c r="H38" s="4">
        <v>46246.13</v>
      </c>
      <c r="I38" s="4" t="s">
        <v>540</v>
      </c>
      <c r="J38" s="4">
        <v>3753.87</v>
      </c>
    </row>
    <row r="39" spans="1:10">
      <c r="A39" s="4">
        <v>5038</v>
      </c>
      <c r="B39" s="4">
        <v>1054</v>
      </c>
      <c r="C39" s="4">
        <v>10</v>
      </c>
      <c r="D39" s="4">
        <v>7</v>
      </c>
      <c r="E39" s="4" t="s">
        <v>581</v>
      </c>
      <c r="F39" s="4"/>
      <c r="G39" s="4">
        <v>900000</v>
      </c>
      <c r="H39" s="4">
        <v>190450.97</v>
      </c>
      <c r="I39" s="4" t="s">
        <v>98</v>
      </c>
      <c r="J39" s="4"/>
    </row>
    <row r="40" spans="1:10">
      <c r="A40" s="4">
        <v>5039</v>
      </c>
      <c r="B40" s="4">
        <v>1047</v>
      </c>
      <c r="C40" s="4">
        <v>5</v>
      </c>
      <c r="D40" s="4">
        <v>6</v>
      </c>
      <c r="E40" s="4" t="s">
        <v>582</v>
      </c>
      <c r="F40" s="4" t="s">
        <v>329</v>
      </c>
      <c r="G40" s="4">
        <v>300000</v>
      </c>
      <c r="H40" s="4">
        <v>23507.96</v>
      </c>
      <c r="I40" s="4" t="s">
        <v>538</v>
      </c>
      <c r="J40" s="4"/>
    </row>
    <row r="41" spans="1:10">
      <c r="A41" s="4">
        <v>5040</v>
      </c>
      <c r="B41" s="4">
        <v>1024</v>
      </c>
      <c r="C41" s="4">
        <v>5</v>
      </c>
      <c r="D41" s="4">
        <v>1</v>
      </c>
      <c r="E41" s="4" t="s">
        <v>583</v>
      </c>
      <c r="F41" s="4"/>
      <c r="G41" s="4">
        <v>10000</v>
      </c>
      <c r="H41" s="4">
        <v>1255.52</v>
      </c>
      <c r="I41" s="4" t="s">
        <v>540</v>
      </c>
      <c r="J41" s="4">
        <v>8744.48</v>
      </c>
    </row>
    <row r="42" spans="1:10">
      <c r="A42" s="4">
        <v>5041</v>
      </c>
      <c r="B42" s="4">
        <v>1024</v>
      </c>
      <c r="C42" s="4">
        <v>17</v>
      </c>
      <c r="D42" s="4">
        <v>5</v>
      </c>
      <c r="E42" s="4" t="s">
        <v>584</v>
      </c>
      <c r="F42" s="4"/>
      <c r="G42" s="4">
        <v>300000</v>
      </c>
      <c r="H42" s="4">
        <v>261682.94</v>
      </c>
      <c r="I42" s="4" t="s">
        <v>98</v>
      </c>
      <c r="J42" s="4"/>
    </row>
    <row r="43" spans="1:10">
      <c r="A43" s="4">
        <v>5042</v>
      </c>
      <c r="B43" s="4">
        <v>1022</v>
      </c>
      <c r="C43" s="4">
        <v>4</v>
      </c>
      <c r="D43" s="4">
        <v>4</v>
      </c>
      <c r="E43" s="4" t="s">
        <v>585</v>
      </c>
      <c r="F43" s="4"/>
      <c r="G43" s="4">
        <v>900000</v>
      </c>
      <c r="H43" s="4">
        <v>599025.78</v>
      </c>
      <c r="I43" s="4" t="s">
        <v>98</v>
      </c>
      <c r="J43" s="4"/>
    </row>
    <row r="44" spans="1:10">
      <c r="A44" s="4">
        <v>5043</v>
      </c>
      <c r="B44" s="4">
        <v>1052</v>
      </c>
      <c r="C44" s="4">
        <v>18</v>
      </c>
      <c r="D44" s="4">
        <v>3</v>
      </c>
      <c r="E44" s="4" t="s">
        <v>586</v>
      </c>
      <c r="F44" s="4"/>
      <c r="G44" s="4">
        <v>5000</v>
      </c>
      <c r="H44" s="4">
        <v>2160.23</v>
      </c>
      <c r="I44" s="4" t="s">
        <v>557</v>
      </c>
      <c r="J44" s="4">
        <v>2839.77</v>
      </c>
    </row>
    <row r="45" spans="1:10">
      <c r="A45" s="4">
        <v>5044</v>
      </c>
      <c r="B45" s="4">
        <v>1017</v>
      </c>
      <c r="C45" s="4">
        <v>19</v>
      </c>
      <c r="D45" s="4">
        <v>4</v>
      </c>
      <c r="E45" s="4" t="s">
        <v>587</v>
      </c>
      <c r="F45" s="4"/>
      <c r="G45" s="4">
        <v>50000</v>
      </c>
      <c r="H45" s="4">
        <v>28830.74</v>
      </c>
      <c r="I45" s="4" t="s">
        <v>540</v>
      </c>
      <c r="J45" s="4"/>
    </row>
    <row r="46" spans="1:10">
      <c r="A46" s="4">
        <v>5045</v>
      </c>
      <c r="B46" s="4">
        <v>1040</v>
      </c>
      <c r="C46" s="4">
        <v>8</v>
      </c>
      <c r="D46" s="4">
        <v>6</v>
      </c>
      <c r="E46" s="4" t="s">
        <v>588</v>
      </c>
      <c r="F46" s="4"/>
      <c r="G46" s="4">
        <v>900000</v>
      </c>
      <c r="H46" s="4">
        <v>276175.48</v>
      </c>
      <c r="I46" s="4" t="s">
        <v>98</v>
      </c>
      <c r="J46" s="4"/>
    </row>
    <row r="47" spans="1:10">
      <c r="A47" s="4">
        <v>5046</v>
      </c>
      <c r="B47" s="4">
        <v>1003</v>
      </c>
      <c r="C47" s="4">
        <v>2</v>
      </c>
      <c r="D47" s="4">
        <v>3</v>
      </c>
      <c r="E47" s="4" t="s">
        <v>589</v>
      </c>
      <c r="F47" s="4"/>
      <c r="G47" s="4">
        <v>30000</v>
      </c>
      <c r="H47" s="4">
        <v>3866.43</v>
      </c>
      <c r="I47" s="4" t="s">
        <v>98</v>
      </c>
      <c r="J47" s="4">
        <v>26133.57</v>
      </c>
    </row>
    <row r="48" spans="1:10">
      <c r="A48" s="4">
        <v>5047</v>
      </c>
      <c r="B48" s="4">
        <v>1048</v>
      </c>
      <c r="C48" s="4">
        <v>18</v>
      </c>
      <c r="D48" s="4">
        <v>4</v>
      </c>
      <c r="E48" s="4" t="s">
        <v>590</v>
      </c>
      <c r="F48" s="4"/>
      <c r="G48" s="4">
        <v>300000</v>
      </c>
      <c r="H48" s="4">
        <v>182005.08</v>
      </c>
      <c r="I48" s="4" t="s">
        <v>98</v>
      </c>
      <c r="J48" s="4"/>
    </row>
    <row r="49" spans="1:10">
      <c r="A49" s="4">
        <v>5048</v>
      </c>
      <c r="B49" s="4">
        <v>1018</v>
      </c>
      <c r="C49" s="4">
        <v>2</v>
      </c>
      <c r="D49" s="4">
        <v>6</v>
      </c>
      <c r="E49" s="4" t="s">
        <v>591</v>
      </c>
      <c r="F49" s="4"/>
      <c r="G49" s="4">
        <v>80000</v>
      </c>
      <c r="H49" s="4">
        <v>62170.61</v>
      </c>
      <c r="I49" s="4" t="s">
        <v>98</v>
      </c>
      <c r="J49" s="4"/>
    </row>
    <row r="50" spans="1:10">
      <c r="A50" s="4">
        <v>5049</v>
      </c>
      <c r="B50" s="4">
        <v>1024</v>
      </c>
      <c r="C50" s="4">
        <v>18</v>
      </c>
      <c r="D50" s="4">
        <v>6</v>
      </c>
      <c r="E50" s="4" t="s">
        <v>592</v>
      </c>
      <c r="F50" s="4"/>
      <c r="G50" s="4">
        <v>50000</v>
      </c>
      <c r="H50" s="4">
        <v>42832.959999999999</v>
      </c>
      <c r="I50" s="4" t="s">
        <v>98</v>
      </c>
      <c r="J50" s="4"/>
    </row>
    <row r="51" spans="1:10">
      <c r="A51" s="4">
        <v>5050</v>
      </c>
      <c r="B51" s="4">
        <v>1014</v>
      </c>
      <c r="C51" s="4">
        <v>20</v>
      </c>
      <c r="D51" s="4">
        <v>1</v>
      </c>
      <c r="E51" s="4" t="s">
        <v>593</v>
      </c>
      <c r="F51" s="4"/>
      <c r="G51" s="4">
        <v>30000</v>
      </c>
      <c r="H51" s="4">
        <v>5848.36</v>
      </c>
      <c r="I51" s="4" t="s">
        <v>540</v>
      </c>
      <c r="J51" s="4">
        <v>24151.64</v>
      </c>
    </row>
    <row r="52" spans="1:10">
      <c r="A52" s="4">
        <v>5051</v>
      </c>
      <c r="B52" s="4">
        <v>1014</v>
      </c>
      <c r="C52" s="4">
        <v>8</v>
      </c>
      <c r="D52" s="4">
        <v>3</v>
      </c>
      <c r="E52" s="4" t="s">
        <v>594</v>
      </c>
      <c r="F52" s="4"/>
      <c r="G52" s="4">
        <v>10000</v>
      </c>
      <c r="H52" s="4">
        <v>9381.51</v>
      </c>
      <c r="I52" s="4" t="s">
        <v>540</v>
      </c>
      <c r="J52" s="4">
        <v>618.49</v>
      </c>
    </row>
    <row r="53" spans="1:10">
      <c r="A53" s="4">
        <v>5052</v>
      </c>
      <c r="B53" s="4">
        <v>1012</v>
      </c>
      <c r="C53" s="4">
        <v>4</v>
      </c>
      <c r="D53" s="4">
        <v>6</v>
      </c>
      <c r="E53" s="4" t="s">
        <v>32</v>
      </c>
      <c r="F53" s="4"/>
      <c r="G53" s="4">
        <v>80000</v>
      </c>
      <c r="H53" s="4">
        <v>44042</v>
      </c>
      <c r="I53" s="4" t="s">
        <v>98</v>
      </c>
      <c r="J53" s="4"/>
    </row>
    <row r="54" spans="1:10">
      <c r="A54" s="4">
        <v>5053</v>
      </c>
      <c r="B54" s="4">
        <v>1004</v>
      </c>
      <c r="C54" s="4">
        <v>5</v>
      </c>
      <c r="D54" s="4">
        <v>6</v>
      </c>
      <c r="E54" s="4" t="s">
        <v>595</v>
      </c>
      <c r="F54" s="4"/>
      <c r="G54" s="4">
        <v>300000</v>
      </c>
      <c r="H54" s="4">
        <v>129310.18</v>
      </c>
      <c r="I54" s="4" t="s">
        <v>98</v>
      </c>
      <c r="J54" s="4"/>
    </row>
    <row r="55" spans="1:10">
      <c r="A55" s="4">
        <v>5054</v>
      </c>
      <c r="B55" s="4">
        <v>1007</v>
      </c>
      <c r="C55" s="4">
        <v>15</v>
      </c>
      <c r="D55" s="4">
        <v>5</v>
      </c>
      <c r="E55" s="4" t="s">
        <v>596</v>
      </c>
      <c r="F55" s="4"/>
      <c r="G55" s="4">
        <v>900000</v>
      </c>
      <c r="H55" s="4">
        <v>443910.18</v>
      </c>
      <c r="I55" s="4" t="s">
        <v>98</v>
      </c>
      <c r="J55" s="4"/>
    </row>
    <row r="56" spans="1:10">
      <c r="A56" s="4">
        <v>5055</v>
      </c>
      <c r="B56" s="4">
        <v>1002</v>
      </c>
      <c r="C56" s="4">
        <v>2</v>
      </c>
      <c r="D56" s="4">
        <v>4</v>
      </c>
      <c r="E56" s="4" t="s">
        <v>597</v>
      </c>
      <c r="F56" s="4" t="s">
        <v>563</v>
      </c>
      <c r="G56" s="4">
        <v>300000</v>
      </c>
      <c r="H56" s="4">
        <v>33740.129999999997</v>
      </c>
      <c r="I56" s="4" t="s">
        <v>538</v>
      </c>
      <c r="J56" s="4"/>
    </row>
    <row r="57" spans="1:10">
      <c r="A57" s="4">
        <v>5056</v>
      </c>
      <c r="B57" s="4">
        <v>1006</v>
      </c>
      <c r="C57" s="4">
        <v>11</v>
      </c>
      <c r="D57" s="4">
        <v>5</v>
      </c>
      <c r="E57" s="4" t="s">
        <v>598</v>
      </c>
      <c r="F57" s="4"/>
      <c r="G57" s="4">
        <v>900000</v>
      </c>
      <c r="H57" s="4">
        <v>492803.99</v>
      </c>
      <c r="I57" s="4" t="s">
        <v>557</v>
      </c>
      <c r="J57" s="4"/>
    </row>
    <row r="58" spans="1:10">
      <c r="A58" s="4">
        <v>5057</v>
      </c>
      <c r="B58" s="4">
        <v>1039</v>
      </c>
      <c r="C58" s="4">
        <v>17</v>
      </c>
      <c r="D58" s="4">
        <v>3</v>
      </c>
      <c r="E58" s="4" t="s">
        <v>599</v>
      </c>
      <c r="F58" s="4"/>
      <c r="G58" s="4">
        <v>50000</v>
      </c>
      <c r="H58" s="4">
        <v>5434.67</v>
      </c>
      <c r="I58" s="4" t="s">
        <v>557</v>
      </c>
      <c r="J58" s="4">
        <v>44565.33</v>
      </c>
    </row>
    <row r="59" spans="1:10">
      <c r="A59" s="4">
        <v>5058</v>
      </c>
      <c r="B59" s="4">
        <v>1050</v>
      </c>
      <c r="C59" s="4">
        <v>18</v>
      </c>
      <c r="D59" s="4">
        <v>6</v>
      </c>
      <c r="E59" s="4" t="s">
        <v>600</v>
      </c>
      <c r="F59" s="4"/>
      <c r="G59" s="4">
        <v>300000</v>
      </c>
      <c r="H59" s="4">
        <v>101427.56</v>
      </c>
      <c r="I59" s="4" t="s">
        <v>98</v>
      </c>
      <c r="J59" s="4"/>
    </row>
    <row r="60" spans="1:10">
      <c r="A60" s="4">
        <v>5059</v>
      </c>
      <c r="B60" s="4">
        <v>1047</v>
      </c>
      <c r="C60" s="4">
        <v>4</v>
      </c>
      <c r="D60" s="4">
        <v>3</v>
      </c>
      <c r="E60" s="4" t="s">
        <v>601</v>
      </c>
      <c r="F60" s="4"/>
      <c r="G60" s="4">
        <v>10000</v>
      </c>
      <c r="H60" s="4">
        <v>6524.8</v>
      </c>
      <c r="I60" s="4" t="s">
        <v>98</v>
      </c>
      <c r="J60" s="4">
        <v>3475.2</v>
      </c>
    </row>
    <row r="61" spans="1:10">
      <c r="A61" s="4">
        <v>5060</v>
      </c>
      <c r="B61" s="4">
        <v>1054</v>
      </c>
      <c r="C61" s="4">
        <v>3</v>
      </c>
      <c r="D61" s="4">
        <v>1</v>
      </c>
      <c r="E61" s="4" t="s">
        <v>602</v>
      </c>
      <c r="F61" s="4"/>
      <c r="G61" s="4">
        <v>10000</v>
      </c>
      <c r="H61" s="4">
        <v>5285.52</v>
      </c>
      <c r="I61" s="4" t="s">
        <v>540</v>
      </c>
      <c r="J61" s="4">
        <v>4714.4799999999996</v>
      </c>
    </row>
    <row r="62" spans="1:10">
      <c r="A62" s="4">
        <v>5061</v>
      </c>
      <c r="B62" s="4">
        <v>1036</v>
      </c>
      <c r="C62" s="4">
        <v>11</v>
      </c>
      <c r="D62" s="4">
        <v>6</v>
      </c>
      <c r="E62" s="4" t="s">
        <v>603</v>
      </c>
      <c r="F62" s="4"/>
      <c r="G62" s="4">
        <v>300000</v>
      </c>
      <c r="H62" s="4">
        <v>236363.5</v>
      </c>
      <c r="I62" s="4" t="s">
        <v>542</v>
      </c>
      <c r="J62" s="4"/>
    </row>
    <row r="63" spans="1:10">
      <c r="A63" s="4">
        <v>5062</v>
      </c>
      <c r="B63" s="4">
        <v>1019</v>
      </c>
      <c r="C63" s="4">
        <v>20</v>
      </c>
      <c r="D63" s="4">
        <v>3</v>
      </c>
      <c r="E63" s="4" t="s">
        <v>604</v>
      </c>
      <c r="F63" s="4"/>
      <c r="G63" s="4">
        <v>10000</v>
      </c>
      <c r="H63" s="4">
        <v>6238.99</v>
      </c>
      <c r="I63" s="4" t="s">
        <v>98</v>
      </c>
      <c r="J63" s="4">
        <v>3761.01</v>
      </c>
    </row>
    <row r="64" spans="1:10">
      <c r="A64" s="4">
        <v>5063</v>
      </c>
      <c r="B64" s="4">
        <v>1023</v>
      </c>
      <c r="C64" s="4">
        <v>18</v>
      </c>
      <c r="D64" s="4">
        <v>3</v>
      </c>
      <c r="E64" s="4" t="s">
        <v>605</v>
      </c>
      <c r="F64" s="4"/>
      <c r="G64" s="4">
        <v>20000</v>
      </c>
      <c r="H64" s="4">
        <v>16057.95</v>
      </c>
      <c r="I64" s="4" t="s">
        <v>540</v>
      </c>
      <c r="J64" s="4">
        <v>3942.05</v>
      </c>
    </row>
    <row r="65" spans="1:10">
      <c r="A65" s="4">
        <v>5064</v>
      </c>
      <c r="B65" s="4">
        <v>1042</v>
      </c>
      <c r="C65" s="4">
        <v>18</v>
      </c>
      <c r="D65" s="4">
        <v>1</v>
      </c>
      <c r="E65" s="4" t="s">
        <v>606</v>
      </c>
      <c r="F65" s="4"/>
      <c r="G65" s="4">
        <v>5000</v>
      </c>
      <c r="H65" s="4">
        <v>856.98</v>
      </c>
      <c r="I65" s="4" t="s">
        <v>557</v>
      </c>
      <c r="J65" s="4">
        <v>4143.0200000000004</v>
      </c>
    </row>
    <row r="66" spans="1:10">
      <c r="A66" s="4">
        <v>5065</v>
      </c>
      <c r="B66" s="4">
        <v>1059</v>
      </c>
      <c r="C66" s="4">
        <v>11</v>
      </c>
      <c r="D66" s="4">
        <v>3</v>
      </c>
      <c r="E66" s="4" t="s">
        <v>607</v>
      </c>
      <c r="F66" s="4" t="s">
        <v>608</v>
      </c>
      <c r="G66" s="4">
        <v>20000</v>
      </c>
      <c r="H66" s="4">
        <v>1322.12</v>
      </c>
      <c r="I66" s="4" t="s">
        <v>538</v>
      </c>
      <c r="J66" s="4">
        <v>18677.88</v>
      </c>
    </row>
    <row r="67" spans="1:10">
      <c r="A67" s="4">
        <v>5066</v>
      </c>
      <c r="B67" s="4">
        <v>1048</v>
      </c>
      <c r="C67" s="4">
        <v>1</v>
      </c>
      <c r="D67" s="4">
        <v>1</v>
      </c>
      <c r="E67" s="4" t="s">
        <v>609</v>
      </c>
      <c r="F67" s="4"/>
      <c r="G67" s="4">
        <v>15000</v>
      </c>
      <c r="H67" s="4">
        <v>2243.08</v>
      </c>
      <c r="I67" s="4" t="s">
        <v>98</v>
      </c>
      <c r="J67" s="4">
        <v>12756.92</v>
      </c>
    </row>
    <row r="68" spans="1:10">
      <c r="A68" s="4">
        <v>5067</v>
      </c>
      <c r="B68" s="4">
        <v>1050</v>
      </c>
      <c r="C68" s="4">
        <v>19</v>
      </c>
      <c r="D68" s="4">
        <v>5</v>
      </c>
      <c r="E68" s="4" t="s">
        <v>610</v>
      </c>
      <c r="F68" s="4"/>
      <c r="G68" s="4">
        <v>600000</v>
      </c>
      <c r="H68" s="4">
        <v>55378.87</v>
      </c>
      <c r="I68" s="4" t="s">
        <v>98</v>
      </c>
      <c r="J68" s="4"/>
    </row>
    <row r="69" spans="1:10">
      <c r="A69" s="4">
        <v>5068</v>
      </c>
      <c r="B69" s="4">
        <v>1043</v>
      </c>
      <c r="C69" s="4">
        <v>14</v>
      </c>
      <c r="D69" s="4">
        <v>4</v>
      </c>
      <c r="E69" s="4" t="s">
        <v>611</v>
      </c>
      <c r="F69" s="4"/>
      <c r="G69" s="4">
        <v>600000</v>
      </c>
      <c r="H69" s="4">
        <v>88046.93</v>
      </c>
      <c r="I69" s="4" t="s">
        <v>98</v>
      </c>
      <c r="J69" s="4"/>
    </row>
    <row r="70" spans="1:10">
      <c r="A70" s="4">
        <v>5069</v>
      </c>
      <c r="B70" s="4">
        <v>1044</v>
      </c>
      <c r="C70" s="4">
        <v>19</v>
      </c>
      <c r="D70" s="4">
        <v>4</v>
      </c>
      <c r="E70" s="4" t="s">
        <v>612</v>
      </c>
      <c r="F70" s="4" t="s">
        <v>563</v>
      </c>
      <c r="G70" s="4">
        <v>600000</v>
      </c>
      <c r="H70" s="4">
        <v>57938.8</v>
      </c>
      <c r="I70" s="4" t="s">
        <v>538</v>
      </c>
      <c r="J70" s="4"/>
    </row>
    <row r="71" spans="1:10">
      <c r="A71" s="4">
        <v>5070</v>
      </c>
      <c r="B71" s="4">
        <v>1014</v>
      </c>
      <c r="C71" s="4">
        <v>10</v>
      </c>
      <c r="D71" s="4">
        <v>2</v>
      </c>
      <c r="E71" s="4" t="s">
        <v>613</v>
      </c>
      <c r="F71" s="4"/>
      <c r="G71" s="4">
        <v>5000</v>
      </c>
      <c r="H71" s="4">
        <v>2362.58</v>
      </c>
      <c r="I71" s="4" t="s">
        <v>98</v>
      </c>
      <c r="J71" s="4">
        <v>2637.42</v>
      </c>
    </row>
    <row r="72" spans="1:10">
      <c r="A72" s="4">
        <v>5071</v>
      </c>
      <c r="B72" s="4">
        <v>1025</v>
      </c>
      <c r="C72" s="4">
        <v>18</v>
      </c>
      <c r="D72" s="4">
        <v>6</v>
      </c>
      <c r="E72" s="4" t="s">
        <v>614</v>
      </c>
      <c r="F72" s="4"/>
      <c r="G72" s="4">
        <v>150000</v>
      </c>
      <c r="H72" s="4">
        <v>16689.63</v>
      </c>
      <c r="I72" s="4" t="s">
        <v>542</v>
      </c>
      <c r="J72" s="4"/>
    </row>
    <row r="73" spans="1:10">
      <c r="A73" s="4">
        <v>5072</v>
      </c>
      <c r="B73" s="4">
        <v>1002</v>
      </c>
      <c r="C73" s="4">
        <v>15</v>
      </c>
      <c r="D73" s="4">
        <v>1</v>
      </c>
      <c r="E73" s="4" t="s">
        <v>615</v>
      </c>
      <c r="F73" s="4"/>
      <c r="G73" s="4">
        <v>50000</v>
      </c>
      <c r="H73" s="4">
        <v>30406.73</v>
      </c>
      <c r="I73" s="4" t="s">
        <v>98</v>
      </c>
      <c r="J73" s="4">
        <v>19593.27</v>
      </c>
    </row>
    <row r="74" spans="1:10">
      <c r="A74" s="4">
        <v>5073</v>
      </c>
      <c r="B74" s="4">
        <v>1002</v>
      </c>
      <c r="C74" s="4">
        <v>11</v>
      </c>
      <c r="D74" s="4">
        <v>2</v>
      </c>
      <c r="E74" s="4" t="s">
        <v>616</v>
      </c>
      <c r="F74" s="4"/>
      <c r="G74" s="4">
        <v>15000</v>
      </c>
      <c r="H74" s="4">
        <v>1255.8499999999999</v>
      </c>
      <c r="I74" s="4" t="s">
        <v>98</v>
      </c>
      <c r="J74" s="4">
        <v>13744.15</v>
      </c>
    </row>
    <row r="75" spans="1:10">
      <c r="A75" s="4">
        <v>5074</v>
      </c>
      <c r="B75" s="4">
        <v>1038</v>
      </c>
      <c r="C75" s="4">
        <v>13</v>
      </c>
      <c r="D75" s="4">
        <v>5</v>
      </c>
      <c r="E75" s="4" t="s">
        <v>617</v>
      </c>
      <c r="F75" s="4"/>
      <c r="G75" s="4">
        <v>150000</v>
      </c>
      <c r="H75" s="4">
        <v>35750.44</v>
      </c>
      <c r="I75" s="4" t="s">
        <v>98</v>
      </c>
      <c r="J75" s="4"/>
    </row>
    <row r="76" spans="1:10">
      <c r="A76" s="4">
        <v>5075</v>
      </c>
      <c r="B76" s="4">
        <v>1041</v>
      </c>
      <c r="C76" s="4">
        <v>4</v>
      </c>
      <c r="D76" s="4">
        <v>5</v>
      </c>
      <c r="E76" s="4" t="s">
        <v>618</v>
      </c>
      <c r="F76" s="4"/>
      <c r="G76" s="4">
        <v>900000</v>
      </c>
      <c r="H76" s="4">
        <v>778040.86</v>
      </c>
      <c r="I76" s="4" t="s">
        <v>557</v>
      </c>
      <c r="J76" s="4"/>
    </row>
    <row r="77" spans="1:10">
      <c r="A77" s="4">
        <v>5076</v>
      </c>
      <c r="B77" s="4">
        <v>1016</v>
      </c>
      <c r="C77" s="4">
        <v>4</v>
      </c>
      <c r="D77" s="4">
        <v>2</v>
      </c>
      <c r="E77" s="4" t="s">
        <v>619</v>
      </c>
      <c r="F77" s="4"/>
      <c r="G77" s="4">
        <v>50000</v>
      </c>
      <c r="H77" s="4">
        <v>3579.28</v>
      </c>
      <c r="I77" s="4" t="s">
        <v>557</v>
      </c>
      <c r="J77" s="4">
        <v>46420.72</v>
      </c>
    </row>
    <row r="78" spans="1:10">
      <c r="A78" s="4">
        <v>5077</v>
      </c>
      <c r="B78" s="4">
        <v>1049</v>
      </c>
      <c r="C78" s="4">
        <v>19</v>
      </c>
      <c r="D78" s="4">
        <v>7</v>
      </c>
      <c r="E78" s="4" t="s">
        <v>620</v>
      </c>
      <c r="F78" s="4"/>
      <c r="G78" s="4">
        <v>600000</v>
      </c>
      <c r="H78" s="4">
        <v>357925.83</v>
      </c>
      <c r="I78" s="4" t="s">
        <v>540</v>
      </c>
      <c r="J78" s="4"/>
    </row>
    <row r="79" spans="1:10">
      <c r="A79" s="4">
        <v>5078</v>
      </c>
      <c r="B79" s="4">
        <v>1041</v>
      </c>
      <c r="C79" s="4">
        <v>11</v>
      </c>
      <c r="D79" s="4">
        <v>2</v>
      </c>
      <c r="E79" s="4" t="s">
        <v>621</v>
      </c>
      <c r="F79" s="4"/>
      <c r="G79" s="4">
        <v>15000</v>
      </c>
      <c r="H79" s="4">
        <v>11347.7</v>
      </c>
      <c r="I79" s="4" t="s">
        <v>542</v>
      </c>
      <c r="J79" s="4">
        <v>3652.3</v>
      </c>
    </row>
    <row r="80" spans="1:10">
      <c r="A80" s="4">
        <v>5079</v>
      </c>
      <c r="B80" s="4">
        <v>1033</v>
      </c>
      <c r="C80" s="4">
        <v>3</v>
      </c>
      <c r="D80" s="4">
        <v>3</v>
      </c>
      <c r="E80" s="4" t="s">
        <v>622</v>
      </c>
      <c r="F80" s="4" t="s">
        <v>563</v>
      </c>
      <c r="G80" s="4">
        <v>15000</v>
      </c>
      <c r="H80" s="4">
        <v>1093.42</v>
      </c>
      <c r="I80" s="4" t="s">
        <v>538</v>
      </c>
      <c r="J80" s="4">
        <v>13906.58</v>
      </c>
    </row>
    <row r="81" spans="1:10">
      <c r="A81" s="4">
        <v>5080</v>
      </c>
      <c r="B81" s="4">
        <v>1056</v>
      </c>
      <c r="C81" s="4">
        <v>3</v>
      </c>
      <c r="D81" s="4">
        <v>5</v>
      </c>
      <c r="E81" s="4" t="s">
        <v>623</v>
      </c>
      <c r="F81" s="4"/>
      <c r="G81" s="4">
        <v>600000</v>
      </c>
      <c r="H81" s="4">
        <v>516658.05</v>
      </c>
      <c r="I81" s="4" t="s">
        <v>557</v>
      </c>
      <c r="J81" s="4"/>
    </row>
    <row r="82" spans="1:10">
      <c r="A82" s="4">
        <v>5081</v>
      </c>
      <c r="B82" s="4">
        <v>1029</v>
      </c>
      <c r="C82" s="4">
        <v>19</v>
      </c>
      <c r="D82" s="4">
        <v>6</v>
      </c>
      <c r="E82" s="4" t="s">
        <v>624</v>
      </c>
      <c r="F82" s="4"/>
      <c r="G82" s="4">
        <v>80000</v>
      </c>
      <c r="H82" s="4">
        <v>69125.119999999995</v>
      </c>
      <c r="I82" s="4" t="s">
        <v>98</v>
      </c>
      <c r="J82" s="4"/>
    </row>
    <row r="83" spans="1:10">
      <c r="A83" s="4">
        <v>5082</v>
      </c>
      <c r="B83" s="4">
        <v>1058</v>
      </c>
      <c r="C83" s="4">
        <v>11</v>
      </c>
      <c r="D83" s="4">
        <v>6</v>
      </c>
      <c r="E83" s="4" t="s">
        <v>625</v>
      </c>
      <c r="F83" s="4"/>
      <c r="G83" s="4">
        <v>80000</v>
      </c>
      <c r="H83" s="4">
        <v>52118.28</v>
      </c>
      <c r="I83" s="4" t="s">
        <v>98</v>
      </c>
      <c r="J83" s="4"/>
    </row>
    <row r="84" spans="1:10">
      <c r="A84" s="4">
        <v>5083</v>
      </c>
      <c r="B84" s="4">
        <v>1040</v>
      </c>
      <c r="C84" s="4">
        <v>6</v>
      </c>
      <c r="D84" s="4">
        <v>3</v>
      </c>
      <c r="E84" s="4" t="s">
        <v>626</v>
      </c>
      <c r="F84" s="4"/>
      <c r="G84" s="4">
        <v>15000</v>
      </c>
      <c r="H84" s="4">
        <v>9674.2900000000009</v>
      </c>
      <c r="I84" s="4" t="s">
        <v>98</v>
      </c>
      <c r="J84" s="4">
        <v>5325.71</v>
      </c>
    </row>
    <row r="85" spans="1:10">
      <c r="A85" s="4">
        <v>5084</v>
      </c>
      <c r="B85" s="4">
        <v>1042</v>
      </c>
      <c r="C85" s="4">
        <v>11</v>
      </c>
      <c r="D85" s="4">
        <v>1</v>
      </c>
      <c r="E85" s="4" t="s">
        <v>627</v>
      </c>
      <c r="F85" s="4"/>
      <c r="G85" s="4">
        <v>15000</v>
      </c>
      <c r="H85" s="4">
        <v>3590.94</v>
      </c>
      <c r="I85" s="4" t="s">
        <v>557</v>
      </c>
      <c r="J85" s="4">
        <v>11409.06</v>
      </c>
    </row>
    <row r="86" spans="1:10">
      <c r="A86" s="4">
        <v>5085</v>
      </c>
      <c r="B86" s="4">
        <v>1039</v>
      </c>
      <c r="C86" s="4">
        <v>5</v>
      </c>
      <c r="D86" s="4">
        <v>3</v>
      </c>
      <c r="E86" s="4" t="s">
        <v>628</v>
      </c>
      <c r="F86" s="4" t="s">
        <v>619</v>
      </c>
      <c r="G86" s="4">
        <v>15000</v>
      </c>
      <c r="H86" s="4">
        <v>13789.68</v>
      </c>
      <c r="I86" s="4" t="s">
        <v>538</v>
      </c>
      <c r="J86" s="4">
        <v>1210.32</v>
      </c>
    </row>
    <row r="87" spans="1:10">
      <c r="A87" s="4">
        <v>5086</v>
      </c>
      <c r="B87" s="4">
        <v>1045</v>
      </c>
      <c r="C87" s="4">
        <v>13</v>
      </c>
      <c r="D87" s="4">
        <v>2</v>
      </c>
      <c r="E87" s="4" t="s">
        <v>629</v>
      </c>
      <c r="F87" s="4"/>
      <c r="G87" s="4">
        <v>20000</v>
      </c>
      <c r="H87" s="4">
        <v>12226.37</v>
      </c>
      <c r="I87" s="4" t="s">
        <v>98</v>
      </c>
      <c r="J87" s="4">
        <v>7773.63</v>
      </c>
    </row>
    <row r="88" spans="1:10">
      <c r="A88" s="4">
        <v>5087</v>
      </c>
      <c r="B88" s="4">
        <v>1043</v>
      </c>
      <c r="C88" s="4">
        <v>17</v>
      </c>
      <c r="D88" s="4">
        <v>1</v>
      </c>
      <c r="E88" s="4" t="s">
        <v>630</v>
      </c>
      <c r="F88" s="4" t="s">
        <v>631</v>
      </c>
      <c r="G88" s="4">
        <v>10000</v>
      </c>
      <c r="H88" s="4">
        <v>9036.11</v>
      </c>
      <c r="I88" s="4" t="s">
        <v>538</v>
      </c>
      <c r="J88" s="4">
        <v>963.89</v>
      </c>
    </row>
    <row r="89" spans="1:10">
      <c r="A89" s="4">
        <v>5088</v>
      </c>
      <c r="B89" s="4">
        <v>1022</v>
      </c>
      <c r="C89" s="4">
        <v>16</v>
      </c>
      <c r="D89" s="4">
        <v>2</v>
      </c>
      <c r="E89" s="4" t="s">
        <v>632</v>
      </c>
      <c r="F89" s="4" t="s">
        <v>633</v>
      </c>
      <c r="G89" s="4">
        <v>5000</v>
      </c>
      <c r="H89" s="4">
        <v>2411.5300000000002</v>
      </c>
      <c r="I89" s="4" t="s">
        <v>538</v>
      </c>
      <c r="J89" s="4">
        <v>2588.4699999999998</v>
      </c>
    </row>
    <row r="90" spans="1:10">
      <c r="A90" s="4">
        <v>5089</v>
      </c>
      <c r="B90" s="4">
        <v>1035</v>
      </c>
      <c r="C90" s="4">
        <v>17</v>
      </c>
      <c r="D90" s="4">
        <v>1</v>
      </c>
      <c r="E90" s="4" t="s">
        <v>634</v>
      </c>
      <c r="F90" s="4"/>
      <c r="G90" s="4">
        <v>10000</v>
      </c>
      <c r="H90" s="4">
        <v>1541.35</v>
      </c>
      <c r="I90" s="4" t="s">
        <v>557</v>
      </c>
      <c r="J90" s="4">
        <v>8458.65</v>
      </c>
    </row>
    <row r="91" spans="1:10">
      <c r="A91" s="4">
        <v>5090</v>
      </c>
      <c r="B91" s="4">
        <v>1052</v>
      </c>
      <c r="C91" s="4">
        <v>6</v>
      </c>
      <c r="D91" s="4">
        <v>6</v>
      </c>
      <c r="E91" s="4" t="s">
        <v>635</v>
      </c>
      <c r="F91" s="4"/>
      <c r="G91" s="4">
        <v>900000</v>
      </c>
      <c r="H91" s="4">
        <v>226710.6</v>
      </c>
      <c r="I91" s="4" t="s">
        <v>98</v>
      </c>
      <c r="J9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1"/>
  <sheetViews>
    <sheetView topLeftCell="C1" zoomScaleNormal="100" workbookViewId="0">
      <pane ySplit="1" topLeftCell="A2" activePane="bottomLeft" state="frozen"/>
      <selection activeCell="A55" sqref="A55"/>
      <selection pane="bottomLeft" activeCell="F26" sqref="F26"/>
    </sheetView>
  </sheetViews>
  <sheetFormatPr defaultColWidth="8.68359375" defaultRowHeight="14.4"/>
  <cols>
    <col min="1" max="1" width="16" customWidth="1"/>
    <col min="2" max="2" width="14" customWidth="1"/>
    <col min="3" max="3" width="18" customWidth="1"/>
    <col min="4" max="4" width="14" customWidth="1"/>
    <col min="5" max="5" width="15" customWidth="1"/>
  </cols>
  <sheetData>
    <row r="1" spans="1:5">
      <c r="A1" s="3" t="s">
        <v>80</v>
      </c>
      <c r="B1" s="3" t="s">
        <v>47</v>
      </c>
      <c r="C1" s="3" t="s">
        <v>106</v>
      </c>
      <c r="D1" s="3" t="s">
        <v>110</v>
      </c>
      <c r="E1" s="3" t="s">
        <v>113</v>
      </c>
    </row>
    <row r="2" spans="1:5">
      <c r="A2" s="4">
        <v>5059</v>
      </c>
      <c r="B2" s="4">
        <v>20240101</v>
      </c>
      <c r="C2" s="4" t="s">
        <v>636</v>
      </c>
      <c r="D2" s="4">
        <v>1323.21</v>
      </c>
      <c r="E2" s="4">
        <v>253.18</v>
      </c>
    </row>
    <row r="3" spans="1:5">
      <c r="A3" s="4">
        <v>5059</v>
      </c>
      <c r="B3" s="4">
        <v>20240103</v>
      </c>
      <c r="C3" s="4" t="s">
        <v>636</v>
      </c>
      <c r="D3" s="4">
        <v>4539.08</v>
      </c>
      <c r="E3" s="4">
        <v>704.52</v>
      </c>
    </row>
    <row r="4" spans="1:5">
      <c r="A4" s="4">
        <v>5059</v>
      </c>
      <c r="B4" s="4">
        <v>20240107</v>
      </c>
      <c r="C4" s="4" t="s">
        <v>637</v>
      </c>
      <c r="D4" s="4">
        <v>4746.22</v>
      </c>
      <c r="E4" s="4">
        <v>3737.89</v>
      </c>
    </row>
    <row r="5" spans="1:5">
      <c r="A5" s="4">
        <v>5059</v>
      </c>
      <c r="B5" s="4">
        <v>20240108</v>
      </c>
      <c r="C5" s="4" t="s">
        <v>636</v>
      </c>
      <c r="D5" s="4">
        <v>3893.31</v>
      </c>
      <c r="E5" s="4">
        <v>2423.58</v>
      </c>
    </row>
    <row r="6" spans="1:5">
      <c r="A6" s="4">
        <v>5059</v>
      </c>
      <c r="B6" s="4">
        <v>20240110</v>
      </c>
      <c r="C6" s="4" t="s">
        <v>636</v>
      </c>
      <c r="D6" s="4">
        <v>2731.81</v>
      </c>
      <c r="E6" s="4">
        <v>2111.73</v>
      </c>
    </row>
    <row r="7" spans="1:5">
      <c r="A7" s="4">
        <v>5079</v>
      </c>
      <c r="B7" s="4">
        <v>20240101</v>
      </c>
      <c r="C7" s="4" t="s">
        <v>109</v>
      </c>
      <c r="D7" s="4">
        <v>4046.04</v>
      </c>
      <c r="E7" s="4">
        <v>4046.04</v>
      </c>
    </row>
    <row r="8" spans="1:5">
      <c r="A8" s="4">
        <v>5079</v>
      </c>
      <c r="B8" s="4">
        <v>20240103</v>
      </c>
      <c r="C8" s="4" t="s">
        <v>109</v>
      </c>
      <c r="D8" s="4">
        <v>4390.41</v>
      </c>
      <c r="E8" s="4">
        <v>4390.41</v>
      </c>
    </row>
    <row r="9" spans="1:5">
      <c r="A9" s="4">
        <v>5079</v>
      </c>
      <c r="B9" s="4">
        <v>20240107</v>
      </c>
      <c r="C9" s="4" t="s">
        <v>109</v>
      </c>
      <c r="D9" s="4">
        <v>3277.66</v>
      </c>
      <c r="E9" s="4">
        <v>3277.66</v>
      </c>
    </row>
    <row r="10" spans="1:5">
      <c r="A10" s="4">
        <v>5079</v>
      </c>
      <c r="B10" s="4">
        <v>20240108</v>
      </c>
      <c r="C10" s="4" t="s">
        <v>109</v>
      </c>
      <c r="D10" s="4">
        <v>2861.8</v>
      </c>
      <c r="E10" s="4">
        <v>2861.8</v>
      </c>
    </row>
    <row r="11" spans="1:5">
      <c r="A11" s="4">
        <v>5079</v>
      </c>
      <c r="B11" s="4">
        <v>20240110</v>
      </c>
      <c r="C11" s="4" t="s">
        <v>109</v>
      </c>
      <c r="D11" s="4">
        <v>3614.72</v>
      </c>
      <c r="E11" s="4">
        <v>3614.72</v>
      </c>
    </row>
    <row r="12" spans="1:5">
      <c r="A12" s="4">
        <v>5044</v>
      </c>
      <c r="B12" s="4">
        <v>20240101</v>
      </c>
      <c r="C12" s="4" t="s">
        <v>636</v>
      </c>
      <c r="D12" s="4">
        <v>4285.6000000000004</v>
      </c>
      <c r="E12" s="4">
        <v>977.33</v>
      </c>
    </row>
    <row r="13" spans="1:5">
      <c r="A13" s="4">
        <v>5044</v>
      </c>
      <c r="B13" s="4">
        <v>20240103</v>
      </c>
      <c r="C13" s="4" t="s">
        <v>109</v>
      </c>
      <c r="D13" s="4">
        <v>1509.4</v>
      </c>
      <c r="E13" s="4">
        <v>1509.4</v>
      </c>
    </row>
    <row r="14" spans="1:5">
      <c r="A14" s="4">
        <v>5044</v>
      </c>
      <c r="B14" s="4">
        <v>20240107</v>
      </c>
      <c r="C14" s="4" t="s">
        <v>636</v>
      </c>
      <c r="D14" s="4">
        <v>907.27</v>
      </c>
      <c r="E14" s="4">
        <v>317.52</v>
      </c>
    </row>
    <row r="15" spans="1:5">
      <c r="A15" s="4">
        <v>5044</v>
      </c>
      <c r="B15" s="4">
        <v>20240108</v>
      </c>
      <c r="C15" s="4" t="s">
        <v>109</v>
      </c>
      <c r="D15" s="4">
        <v>4120.18</v>
      </c>
      <c r="E15" s="4">
        <v>4120.18</v>
      </c>
    </row>
    <row r="16" spans="1:5">
      <c r="A16" s="4">
        <v>5044</v>
      </c>
      <c r="B16" s="4">
        <v>20240110</v>
      </c>
      <c r="C16" s="4" t="s">
        <v>109</v>
      </c>
      <c r="D16" s="4">
        <v>4666.2700000000004</v>
      </c>
      <c r="E16" s="4">
        <v>4666.2700000000004</v>
      </c>
    </row>
    <row r="17" spans="1:5">
      <c r="A17" s="4">
        <v>5056</v>
      </c>
      <c r="B17" s="4">
        <v>20240101</v>
      </c>
      <c r="C17" s="4" t="s">
        <v>109</v>
      </c>
      <c r="D17" s="4">
        <v>455.63</v>
      </c>
      <c r="E17" s="4">
        <v>455.63</v>
      </c>
    </row>
    <row r="18" spans="1:5">
      <c r="A18" s="4">
        <v>5056</v>
      </c>
      <c r="B18" s="4">
        <v>20240103</v>
      </c>
      <c r="C18" s="4" t="s">
        <v>636</v>
      </c>
      <c r="D18" s="4">
        <v>1995.02</v>
      </c>
      <c r="E18" s="4">
        <v>616.33000000000004</v>
      </c>
    </row>
    <row r="19" spans="1:5">
      <c r="A19" s="4">
        <v>5056</v>
      </c>
      <c r="B19" s="4">
        <v>20240107</v>
      </c>
      <c r="C19" s="4" t="s">
        <v>109</v>
      </c>
      <c r="D19" s="4">
        <v>1999.58</v>
      </c>
      <c r="E19" s="4">
        <v>1999.58</v>
      </c>
    </row>
    <row r="20" spans="1:5">
      <c r="A20" s="4">
        <v>5056</v>
      </c>
      <c r="B20" s="4">
        <v>20240108</v>
      </c>
      <c r="C20" s="4" t="s">
        <v>109</v>
      </c>
      <c r="D20" s="4">
        <v>1729.69</v>
      </c>
      <c r="E20" s="4">
        <v>1729.69</v>
      </c>
    </row>
    <row r="21" spans="1:5">
      <c r="A21" s="4">
        <v>5056</v>
      </c>
      <c r="B21" s="4">
        <v>20240110</v>
      </c>
      <c r="C21" s="4" t="s">
        <v>109</v>
      </c>
      <c r="D21" s="4">
        <v>4228.05</v>
      </c>
      <c r="E21" s="4">
        <v>4228.05</v>
      </c>
    </row>
    <row r="22" spans="1:5">
      <c r="A22" s="4">
        <v>5088</v>
      </c>
      <c r="B22" s="4">
        <v>20240101</v>
      </c>
      <c r="C22" s="4" t="s">
        <v>637</v>
      </c>
      <c r="D22" s="4">
        <v>1809.39</v>
      </c>
      <c r="E22" s="4">
        <v>211.41</v>
      </c>
    </row>
    <row r="23" spans="1:5">
      <c r="A23" s="4">
        <v>5088</v>
      </c>
      <c r="B23" s="4">
        <v>20240103</v>
      </c>
      <c r="C23" s="4" t="s">
        <v>109</v>
      </c>
      <c r="D23" s="4">
        <v>1577.02</v>
      </c>
      <c r="E23" s="4">
        <v>1577.02</v>
      </c>
    </row>
    <row r="24" spans="1:5">
      <c r="A24" s="4">
        <v>5088</v>
      </c>
      <c r="B24" s="4">
        <v>20240107</v>
      </c>
      <c r="C24" s="4" t="s">
        <v>636</v>
      </c>
      <c r="D24" s="4">
        <v>3541.15</v>
      </c>
      <c r="E24" s="4">
        <v>393.19</v>
      </c>
    </row>
    <row r="25" spans="1:5">
      <c r="A25" s="4">
        <v>5088</v>
      </c>
      <c r="B25" s="4">
        <v>20240108</v>
      </c>
      <c r="C25" s="4" t="s">
        <v>636</v>
      </c>
      <c r="D25" s="4">
        <v>2353.29</v>
      </c>
      <c r="E25" s="4">
        <v>9.89</v>
      </c>
    </row>
    <row r="26" spans="1:5">
      <c r="A26" s="4">
        <v>5088</v>
      </c>
      <c r="B26" s="4">
        <v>20240110</v>
      </c>
      <c r="C26" s="4" t="s">
        <v>109</v>
      </c>
      <c r="D26" s="4">
        <v>291.22000000000003</v>
      </c>
      <c r="E26" s="4">
        <v>291.22000000000003</v>
      </c>
    </row>
    <row r="27" spans="1:5">
      <c r="A27" s="4">
        <v>5075</v>
      </c>
      <c r="B27" s="4">
        <v>20240101</v>
      </c>
      <c r="C27" s="4" t="s">
        <v>109</v>
      </c>
      <c r="D27" s="4">
        <v>4207.82</v>
      </c>
      <c r="E27" s="4">
        <v>4207.82</v>
      </c>
    </row>
    <row r="28" spans="1:5">
      <c r="A28" s="4">
        <v>5075</v>
      </c>
      <c r="B28" s="4">
        <v>20240103</v>
      </c>
      <c r="C28" s="4" t="s">
        <v>636</v>
      </c>
      <c r="D28" s="4">
        <v>4713.08</v>
      </c>
      <c r="E28" s="4">
        <v>2295.7600000000002</v>
      </c>
    </row>
    <row r="29" spans="1:5">
      <c r="A29" s="4">
        <v>5075</v>
      </c>
      <c r="B29" s="4">
        <v>20240107</v>
      </c>
      <c r="C29" s="4" t="s">
        <v>109</v>
      </c>
      <c r="D29" s="4">
        <v>733.7</v>
      </c>
      <c r="E29" s="4">
        <v>733.7</v>
      </c>
    </row>
    <row r="30" spans="1:5">
      <c r="A30" s="4">
        <v>5075</v>
      </c>
      <c r="B30" s="4">
        <v>20240108</v>
      </c>
      <c r="C30" s="4" t="s">
        <v>109</v>
      </c>
      <c r="D30" s="4">
        <v>1340.67</v>
      </c>
      <c r="E30" s="4">
        <v>1340.67</v>
      </c>
    </row>
    <row r="31" spans="1:5">
      <c r="A31" s="4">
        <v>5075</v>
      </c>
      <c r="B31" s="4">
        <v>20240110</v>
      </c>
      <c r="C31" s="4" t="s">
        <v>109</v>
      </c>
      <c r="D31" s="4">
        <v>429.2</v>
      </c>
      <c r="E31" s="4">
        <v>429.2</v>
      </c>
    </row>
    <row r="32" spans="1:5">
      <c r="A32" s="4">
        <v>5061</v>
      </c>
      <c r="B32" s="4">
        <v>20240101</v>
      </c>
      <c r="C32" s="4" t="s">
        <v>109</v>
      </c>
      <c r="D32" s="4">
        <v>3266.97</v>
      </c>
      <c r="E32" s="4">
        <v>3266.97</v>
      </c>
    </row>
    <row r="33" spans="1:5">
      <c r="A33" s="4">
        <v>5061</v>
      </c>
      <c r="B33" s="4">
        <v>20240103</v>
      </c>
      <c r="C33" s="4" t="s">
        <v>638</v>
      </c>
      <c r="D33" s="4">
        <v>2394.15</v>
      </c>
      <c r="E33" s="4">
        <v>212.33</v>
      </c>
    </row>
    <row r="34" spans="1:5">
      <c r="A34" s="4">
        <v>5061</v>
      </c>
      <c r="B34" s="4">
        <v>20240107</v>
      </c>
      <c r="C34" s="4" t="s">
        <v>636</v>
      </c>
      <c r="D34" s="4">
        <v>3064.35</v>
      </c>
      <c r="E34" s="4">
        <v>40.29</v>
      </c>
    </row>
    <row r="35" spans="1:5">
      <c r="A35" s="4">
        <v>5061</v>
      </c>
      <c r="B35" s="4">
        <v>20240108</v>
      </c>
      <c r="C35" s="4" t="s">
        <v>636</v>
      </c>
      <c r="D35" s="4">
        <v>2960.23</v>
      </c>
      <c r="E35" s="4">
        <v>1701.65</v>
      </c>
    </row>
    <row r="36" spans="1:5">
      <c r="A36" s="4">
        <v>5061</v>
      </c>
      <c r="B36" s="4">
        <v>20240110</v>
      </c>
      <c r="C36" s="4" t="s">
        <v>109</v>
      </c>
      <c r="D36" s="4">
        <v>2260.35</v>
      </c>
      <c r="E36" s="4">
        <v>2260.35</v>
      </c>
    </row>
    <row r="37" spans="1:5">
      <c r="A37" s="4">
        <v>5053</v>
      </c>
      <c r="B37" s="4">
        <v>20240101</v>
      </c>
      <c r="C37" s="4" t="s">
        <v>638</v>
      </c>
      <c r="D37" s="4">
        <v>1893.52</v>
      </c>
      <c r="E37" s="4">
        <v>864.45</v>
      </c>
    </row>
    <row r="38" spans="1:5">
      <c r="A38" s="4">
        <v>5053</v>
      </c>
      <c r="B38" s="4">
        <v>20240103</v>
      </c>
      <c r="C38" s="4" t="s">
        <v>109</v>
      </c>
      <c r="D38" s="4">
        <v>3388.98</v>
      </c>
      <c r="E38" s="4">
        <v>3388.98</v>
      </c>
    </row>
    <row r="39" spans="1:5">
      <c r="A39" s="4">
        <v>5053</v>
      </c>
      <c r="B39" s="4">
        <v>20240107</v>
      </c>
      <c r="C39" s="4" t="s">
        <v>109</v>
      </c>
      <c r="D39" s="4">
        <v>2712.73</v>
      </c>
      <c r="E39" s="4">
        <v>2712.73</v>
      </c>
    </row>
    <row r="40" spans="1:5">
      <c r="A40" s="4">
        <v>5053</v>
      </c>
      <c r="B40" s="4">
        <v>20240108</v>
      </c>
      <c r="C40" s="4" t="s">
        <v>109</v>
      </c>
      <c r="D40" s="4">
        <v>524.86</v>
      </c>
      <c r="E40" s="4">
        <v>524.86</v>
      </c>
    </row>
    <row r="41" spans="1:5">
      <c r="A41" s="4">
        <v>5053</v>
      </c>
      <c r="B41" s="4">
        <v>20240110</v>
      </c>
      <c r="C41" s="4" t="s">
        <v>636</v>
      </c>
      <c r="D41" s="4">
        <v>2811.59</v>
      </c>
      <c r="E41" s="4">
        <v>1768.86</v>
      </c>
    </row>
    <row r="42" spans="1:5">
      <c r="A42" s="4">
        <v>5047</v>
      </c>
      <c r="B42" s="4">
        <v>20240101</v>
      </c>
      <c r="C42" s="4" t="s">
        <v>636</v>
      </c>
      <c r="D42" s="4">
        <v>2859.93</v>
      </c>
      <c r="E42" s="4">
        <v>893.34</v>
      </c>
    </row>
    <row r="43" spans="1:5">
      <c r="A43" s="4">
        <v>5047</v>
      </c>
      <c r="B43" s="4">
        <v>20240103</v>
      </c>
      <c r="C43" s="4" t="s">
        <v>636</v>
      </c>
      <c r="D43" s="4">
        <v>408.97</v>
      </c>
      <c r="E43" s="4">
        <v>126.58</v>
      </c>
    </row>
    <row r="44" spans="1:5">
      <c r="A44" s="4">
        <v>5047</v>
      </c>
      <c r="B44" s="4">
        <v>20240107</v>
      </c>
      <c r="C44" s="4" t="s">
        <v>109</v>
      </c>
      <c r="D44" s="4">
        <v>1417.52</v>
      </c>
      <c r="E44" s="4">
        <v>1417.52</v>
      </c>
    </row>
    <row r="45" spans="1:5">
      <c r="A45" s="4">
        <v>5047</v>
      </c>
      <c r="B45" s="4">
        <v>20240108</v>
      </c>
      <c r="C45" s="4" t="s">
        <v>109</v>
      </c>
      <c r="D45" s="4">
        <v>1914.05</v>
      </c>
      <c r="E45" s="4">
        <v>1914.05</v>
      </c>
    </row>
    <row r="46" spans="1:5">
      <c r="A46" s="4">
        <v>5047</v>
      </c>
      <c r="B46" s="4">
        <v>20240110</v>
      </c>
      <c r="C46" s="4" t="s">
        <v>109</v>
      </c>
      <c r="D46" s="4">
        <v>1855.05</v>
      </c>
      <c r="E46" s="4">
        <v>1855.05</v>
      </c>
    </row>
    <row r="47" spans="1:5">
      <c r="A47" s="4">
        <v>5040</v>
      </c>
      <c r="B47" s="4">
        <v>20240101</v>
      </c>
      <c r="C47" s="4" t="s">
        <v>637</v>
      </c>
      <c r="D47" s="4">
        <v>3215.63</v>
      </c>
      <c r="E47" s="4">
        <v>1984.69</v>
      </c>
    </row>
    <row r="48" spans="1:5">
      <c r="A48" s="4">
        <v>5040</v>
      </c>
      <c r="B48" s="4">
        <v>20240103</v>
      </c>
      <c r="C48" s="4" t="s">
        <v>109</v>
      </c>
      <c r="D48" s="4">
        <v>840.37</v>
      </c>
      <c r="E48" s="4">
        <v>840.37</v>
      </c>
    </row>
    <row r="49" spans="1:5">
      <c r="A49" s="4">
        <v>5040</v>
      </c>
      <c r="B49" s="4">
        <v>20240107</v>
      </c>
      <c r="C49" s="4" t="s">
        <v>109</v>
      </c>
      <c r="D49" s="4">
        <v>2820.87</v>
      </c>
      <c r="E49" s="4">
        <v>2820.87</v>
      </c>
    </row>
    <row r="50" spans="1:5">
      <c r="A50" s="4">
        <v>5040</v>
      </c>
      <c r="B50" s="4">
        <v>20240108</v>
      </c>
      <c r="C50" s="4" t="s">
        <v>637</v>
      </c>
      <c r="D50" s="4">
        <v>1040.43</v>
      </c>
      <c r="E50" s="4">
        <v>648.51</v>
      </c>
    </row>
    <row r="51" spans="1:5">
      <c r="A51" s="4">
        <v>5040</v>
      </c>
      <c r="B51" s="4">
        <v>20240110</v>
      </c>
      <c r="C51" s="4" t="s">
        <v>636</v>
      </c>
      <c r="D51" s="4">
        <v>4907.93</v>
      </c>
      <c r="E51" s="4">
        <v>1878.88</v>
      </c>
    </row>
    <row r="52" spans="1:5">
      <c r="A52" s="4">
        <v>5041</v>
      </c>
      <c r="B52" s="4">
        <v>20240101</v>
      </c>
      <c r="C52" s="4" t="s">
        <v>109</v>
      </c>
      <c r="D52" s="4">
        <v>4095.19</v>
      </c>
      <c r="E52" s="4">
        <v>4095.19</v>
      </c>
    </row>
    <row r="53" spans="1:5">
      <c r="A53" s="4">
        <v>5041</v>
      </c>
      <c r="B53" s="4">
        <v>20240103</v>
      </c>
      <c r="C53" s="4" t="s">
        <v>109</v>
      </c>
      <c r="D53" s="4">
        <v>3637.02</v>
      </c>
      <c r="E53" s="4">
        <v>3637.02</v>
      </c>
    </row>
    <row r="54" spans="1:5">
      <c r="A54" s="4">
        <v>5041</v>
      </c>
      <c r="B54" s="4">
        <v>20240107</v>
      </c>
      <c r="C54" s="4" t="s">
        <v>636</v>
      </c>
      <c r="D54" s="4">
        <v>377.52</v>
      </c>
      <c r="E54" s="4">
        <v>60.88</v>
      </c>
    </row>
    <row r="55" spans="1:5">
      <c r="A55" s="4">
        <v>5041</v>
      </c>
      <c r="B55" s="4">
        <v>20240108</v>
      </c>
      <c r="C55" s="4" t="s">
        <v>109</v>
      </c>
      <c r="D55" s="4">
        <v>4451.79</v>
      </c>
      <c r="E55" s="4">
        <v>4451.79</v>
      </c>
    </row>
    <row r="56" spans="1:5">
      <c r="A56" s="4">
        <v>5041</v>
      </c>
      <c r="B56" s="4">
        <v>20240110</v>
      </c>
      <c r="C56" s="4" t="s">
        <v>109</v>
      </c>
      <c r="D56" s="4">
        <v>4680.18</v>
      </c>
      <c r="E56" s="4">
        <v>4680.18</v>
      </c>
    </row>
    <row r="57" spans="1:5">
      <c r="A57" s="4">
        <v>5032</v>
      </c>
      <c r="B57" s="4">
        <v>20240101</v>
      </c>
      <c r="C57" s="4" t="s">
        <v>636</v>
      </c>
      <c r="D57" s="4">
        <v>2111.48</v>
      </c>
      <c r="E57" s="4">
        <v>1377.37</v>
      </c>
    </row>
    <row r="58" spans="1:5">
      <c r="A58" s="4">
        <v>5032</v>
      </c>
      <c r="B58" s="4">
        <v>20240103</v>
      </c>
      <c r="C58" s="4" t="s">
        <v>636</v>
      </c>
      <c r="D58" s="4">
        <v>1415.91</v>
      </c>
      <c r="E58" s="4">
        <v>853.27</v>
      </c>
    </row>
    <row r="59" spans="1:5">
      <c r="A59" s="4">
        <v>5032</v>
      </c>
      <c r="B59" s="4">
        <v>20240107</v>
      </c>
      <c r="C59" s="4" t="s">
        <v>109</v>
      </c>
      <c r="D59" s="4">
        <v>1573.33</v>
      </c>
      <c r="E59" s="4">
        <v>1573.33</v>
      </c>
    </row>
    <row r="60" spans="1:5">
      <c r="A60" s="4">
        <v>5032</v>
      </c>
      <c r="B60" s="4">
        <v>20240108</v>
      </c>
      <c r="C60" s="4" t="s">
        <v>109</v>
      </c>
      <c r="D60" s="4">
        <v>4355.83</v>
      </c>
      <c r="E60" s="4">
        <v>4355.83</v>
      </c>
    </row>
    <row r="61" spans="1:5">
      <c r="A61" s="4">
        <v>5032</v>
      </c>
      <c r="B61" s="4">
        <v>20240110</v>
      </c>
      <c r="C61" s="4" t="s">
        <v>109</v>
      </c>
      <c r="D61" s="4">
        <v>1511.44</v>
      </c>
      <c r="E61" s="4">
        <v>1511.44</v>
      </c>
    </row>
    <row r="62" spans="1:5">
      <c r="A62" s="4">
        <v>5070</v>
      </c>
      <c r="B62" s="4">
        <v>20240101</v>
      </c>
      <c r="C62" s="4" t="s">
        <v>109</v>
      </c>
      <c r="D62" s="4">
        <v>2297.37</v>
      </c>
      <c r="E62" s="4">
        <v>2297.37</v>
      </c>
    </row>
    <row r="63" spans="1:5">
      <c r="A63" s="4">
        <v>5070</v>
      </c>
      <c r="B63" s="4">
        <v>20240103</v>
      </c>
      <c r="C63" s="4" t="s">
        <v>109</v>
      </c>
      <c r="D63" s="4">
        <v>3767.88</v>
      </c>
      <c r="E63" s="4">
        <v>3767.88</v>
      </c>
    </row>
    <row r="64" spans="1:5">
      <c r="A64" s="4">
        <v>5070</v>
      </c>
      <c r="B64" s="4">
        <v>20240107</v>
      </c>
      <c r="C64" s="4" t="s">
        <v>109</v>
      </c>
      <c r="D64" s="4">
        <v>1827.38</v>
      </c>
      <c r="E64" s="4">
        <v>1827.38</v>
      </c>
    </row>
    <row r="65" spans="1:5">
      <c r="A65" s="4">
        <v>5070</v>
      </c>
      <c r="B65" s="4">
        <v>20240108</v>
      </c>
      <c r="C65" s="4" t="s">
        <v>109</v>
      </c>
      <c r="D65" s="4">
        <v>2581.7800000000002</v>
      </c>
      <c r="E65" s="4">
        <v>2581.7800000000002</v>
      </c>
    </row>
    <row r="66" spans="1:5">
      <c r="A66" s="4">
        <v>5070</v>
      </c>
      <c r="B66" s="4">
        <v>20240110</v>
      </c>
      <c r="C66" s="4" t="s">
        <v>636</v>
      </c>
      <c r="D66" s="4">
        <v>1963.27</v>
      </c>
      <c r="E66" s="4">
        <v>1252.24</v>
      </c>
    </row>
    <row r="67" spans="1:5">
      <c r="A67" s="4">
        <v>5028</v>
      </c>
      <c r="B67" s="4">
        <v>20240101</v>
      </c>
      <c r="C67" s="4" t="s">
        <v>109</v>
      </c>
      <c r="D67" s="4">
        <v>4045.51</v>
      </c>
      <c r="E67" s="4">
        <v>4045.51</v>
      </c>
    </row>
    <row r="68" spans="1:5">
      <c r="A68" s="4">
        <v>5028</v>
      </c>
      <c r="B68" s="4">
        <v>20240103</v>
      </c>
      <c r="C68" s="4" t="s">
        <v>109</v>
      </c>
      <c r="D68" s="4">
        <v>578.85</v>
      </c>
      <c r="E68" s="4">
        <v>578.85</v>
      </c>
    </row>
    <row r="69" spans="1:5">
      <c r="A69" s="4">
        <v>5028</v>
      </c>
      <c r="B69" s="4">
        <v>20240107</v>
      </c>
      <c r="C69" s="4" t="s">
        <v>638</v>
      </c>
      <c r="D69" s="4">
        <v>4976.47</v>
      </c>
      <c r="E69" s="4">
        <v>718.43</v>
      </c>
    </row>
    <row r="70" spans="1:5">
      <c r="A70" s="4">
        <v>5028</v>
      </c>
      <c r="B70" s="4">
        <v>20240108</v>
      </c>
      <c r="C70" s="4" t="s">
        <v>109</v>
      </c>
      <c r="D70" s="4">
        <v>1741.81</v>
      </c>
      <c r="E70" s="4">
        <v>1741.81</v>
      </c>
    </row>
    <row r="71" spans="1:5">
      <c r="A71" s="4">
        <v>5028</v>
      </c>
      <c r="B71" s="4">
        <v>20240110</v>
      </c>
      <c r="C71" s="4" t="s">
        <v>109</v>
      </c>
      <c r="D71" s="4">
        <v>1774.02</v>
      </c>
      <c r="E71" s="4">
        <v>1774.02</v>
      </c>
    </row>
    <row r="72" spans="1:5">
      <c r="A72" s="4">
        <v>5039</v>
      </c>
      <c r="B72" s="4">
        <v>20240101</v>
      </c>
      <c r="C72" s="4" t="s">
        <v>109</v>
      </c>
      <c r="D72" s="4">
        <v>1671.18</v>
      </c>
      <c r="E72" s="4">
        <v>1671.18</v>
      </c>
    </row>
    <row r="73" spans="1:5">
      <c r="A73" s="4">
        <v>5039</v>
      </c>
      <c r="B73" s="4">
        <v>20240103</v>
      </c>
      <c r="C73" s="4" t="s">
        <v>638</v>
      </c>
      <c r="D73" s="4">
        <v>3644.78</v>
      </c>
      <c r="E73" s="4">
        <v>485.91</v>
      </c>
    </row>
    <row r="74" spans="1:5">
      <c r="A74" s="4">
        <v>5039</v>
      </c>
      <c r="B74" s="4">
        <v>20240107</v>
      </c>
      <c r="C74" s="4" t="s">
        <v>636</v>
      </c>
      <c r="D74" s="4">
        <v>1887.43</v>
      </c>
      <c r="E74" s="4">
        <v>63.95</v>
      </c>
    </row>
    <row r="75" spans="1:5">
      <c r="A75" s="4">
        <v>5039</v>
      </c>
      <c r="B75" s="4">
        <v>20240108</v>
      </c>
      <c r="C75" s="4" t="s">
        <v>109</v>
      </c>
      <c r="D75" s="4">
        <v>3151.29</v>
      </c>
      <c r="E75" s="4">
        <v>3151.29</v>
      </c>
    </row>
    <row r="76" spans="1:5">
      <c r="A76" s="4">
        <v>5039</v>
      </c>
      <c r="B76" s="4">
        <v>20240110</v>
      </c>
      <c r="C76" s="4" t="s">
        <v>109</v>
      </c>
      <c r="D76" s="4">
        <v>1517.87</v>
      </c>
      <c r="E76" s="4">
        <v>1517.87</v>
      </c>
    </row>
    <row r="77" spans="1:5">
      <c r="A77" s="4">
        <v>5069</v>
      </c>
      <c r="B77" s="4">
        <v>20240101</v>
      </c>
      <c r="C77" s="4" t="s">
        <v>109</v>
      </c>
      <c r="D77" s="4">
        <v>560.20000000000005</v>
      </c>
      <c r="E77" s="4">
        <v>560.20000000000005</v>
      </c>
    </row>
    <row r="78" spans="1:5">
      <c r="A78" s="4">
        <v>5069</v>
      </c>
      <c r="B78" s="4">
        <v>20240103</v>
      </c>
      <c r="C78" s="4" t="s">
        <v>637</v>
      </c>
      <c r="D78" s="4">
        <v>2149.81</v>
      </c>
      <c r="E78" s="4">
        <v>882.43</v>
      </c>
    </row>
    <row r="79" spans="1:5">
      <c r="A79" s="4">
        <v>5069</v>
      </c>
      <c r="B79" s="4">
        <v>20240107</v>
      </c>
      <c r="C79" s="4" t="s">
        <v>637</v>
      </c>
      <c r="D79" s="4">
        <v>967.94</v>
      </c>
      <c r="E79" s="4">
        <v>24.11</v>
      </c>
    </row>
    <row r="80" spans="1:5">
      <c r="A80" s="4">
        <v>5069</v>
      </c>
      <c r="B80" s="4">
        <v>20240108</v>
      </c>
      <c r="C80" s="4" t="s">
        <v>638</v>
      </c>
      <c r="D80" s="4">
        <v>3454.83</v>
      </c>
      <c r="E80" s="4">
        <v>1211.05</v>
      </c>
    </row>
    <row r="81" spans="1:5">
      <c r="A81" s="4">
        <v>5069</v>
      </c>
      <c r="B81" s="4">
        <v>20240110</v>
      </c>
      <c r="C81" s="4" t="s">
        <v>109</v>
      </c>
      <c r="D81" s="4">
        <v>522.72</v>
      </c>
      <c r="E81" s="4">
        <v>522.72</v>
      </c>
    </row>
    <row r="82" spans="1:5">
      <c r="A82" s="4">
        <v>5011</v>
      </c>
      <c r="B82" s="4">
        <v>20240101</v>
      </c>
      <c r="C82" s="4" t="s">
        <v>637</v>
      </c>
      <c r="D82" s="4">
        <v>1958.38</v>
      </c>
      <c r="E82" s="4">
        <v>599.82000000000005</v>
      </c>
    </row>
    <row r="83" spans="1:5">
      <c r="A83" s="4">
        <v>5011</v>
      </c>
      <c r="B83" s="4">
        <v>20240103</v>
      </c>
      <c r="C83" s="4" t="s">
        <v>638</v>
      </c>
      <c r="D83" s="4">
        <v>355.45</v>
      </c>
      <c r="E83" s="4">
        <v>43.63</v>
      </c>
    </row>
    <row r="84" spans="1:5">
      <c r="A84" s="4">
        <v>5011</v>
      </c>
      <c r="B84" s="4">
        <v>20240107</v>
      </c>
      <c r="C84" s="4" t="s">
        <v>636</v>
      </c>
      <c r="D84" s="4">
        <v>4754.3500000000004</v>
      </c>
      <c r="E84" s="4">
        <v>1414.95</v>
      </c>
    </row>
    <row r="85" spans="1:5">
      <c r="A85" s="4">
        <v>5011</v>
      </c>
      <c r="B85" s="4">
        <v>20240108</v>
      </c>
      <c r="C85" s="4" t="s">
        <v>109</v>
      </c>
      <c r="D85" s="4">
        <v>2954.82</v>
      </c>
      <c r="E85" s="4">
        <v>2954.82</v>
      </c>
    </row>
    <row r="86" spans="1:5">
      <c r="A86" s="4">
        <v>5011</v>
      </c>
      <c r="B86" s="4">
        <v>20240110</v>
      </c>
      <c r="C86" s="4" t="s">
        <v>636</v>
      </c>
      <c r="D86" s="4">
        <v>1961.36</v>
      </c>
      <c r="E86" s="4">
        <v>493.3</v>
      </c>
    </row>
    <row r="87" spans="1:5">
      <c r="A87" s="4">
        <v>5003</v>
      </c>
      <c r="B87" s="4">
        <v>20240101</v>
      </c>
      <c r="C87" s="4" t="s">
        <v>109</v>
      </c>
      <c r="D87" s="4">
        <v>1398.14</v>
      </c>
      <c r="E87" s="4">
        <v>1398.14</v>
      </c>
    </row>
    <row r="88" spans="1:5">
      <c r="A88" s="4">
        <v>5003</v>
      </c>
      <c r="B88" s="4">
        <v>20240103</v>
      </c>
      <c r="C88" s="4" t="s">
        <v>109</v>
      </c>
      <c r="D88" s="4">
        <v>324.38</v>
      </c>
      <c r="E88" s="4">
        <v>324.38</v>
      </c>
    </row>
    <row r="89" spans="1:5">
      <c r="A89" s="4">
        <v>5003</v>
      </c>
      <c r="B89" s="4">
        <v>20240107</v>
      </c>
      <c r="C89" s="4" t="s">
        <v>109</v>
      </c>
      <c r="D89" s="4">
        <v>2595.41</v>
      </c>
      <c r="E89" s="4">
        <v>2595.41</v>
      </c>
    </row>
    <row r="90" spans="1:5">
      <c r="A90" s="4">
        <v>5003</v>
      </c>
      <c r="B90" s="4">
        <v>20240108</v>
      </c>
      <c r="C90" s="4" t="s">
        <v>109</v>
      </c>
      <c r="D90" s="4">
        <v>4585</v>
      </c>
      <c r="E90" s="4">
        <v>4585</v>
      </c>
    </row>
    <row r="91" spans="1:5">
      <c r="A91" s="4">
        <v>5003</v>
      </c>
      <c r="B91" s="4">
        <v>20240110</v>
      </c>
      <c r="C91" s="4" t="s">
        <v>109</v>
      </c>
      <c r="D91" s="4">
        <v>1456.53</v>
      </c>
      <c r="E91" s="4">
        <v>1456.53</v>
      </c>
    </row>
    <row r="92" spans="1:5">
      <c r="A92" s="4">
        <v>5090</v>
      </c>
      <c r="B92" s="4">
        <v>20240101</v>
      </c>
      <c r="C92" s="4" t="s">
        <v>109</v>
      </c>
      <c r="D92" s="4">
        <v>3579.38</v>
      </c>
      <c r="E92" s="4">
        <v>3579.38</v>
      </c>
    </row>
    <row r="93" spans="1:5">
      <c r="A93" s="4">
        <v>5090</v>
      </c>
      <c r="B93" s="4">
        <v>20240103</v>
      </c>
      <c r="C93" s="4" t="s">
        <v>109</v>
      </c>
      <c r="D93" s="4">
        <v>4982.55</v>
      </c>
      <c r="E93" s="4">
        <v>4982.55</v>
      </c>
    </row>
    <row r="94" spans="1:5">
      <c r="A94" s="4">
        <v>5090</v>
      </c>
      <c r="B94" s="4">
        <v>20240107</v>
      </c>
      <c r="C94" s="4" t="s">
        <v>109</v>
      </c>
      <c r="D94" s="4">
        <v>3531.11</v>
      </c>
      <c r="E94" s="4">
        <v>3531.11</v>
      </c>
    </row>
    <row r="95" spans="1:5">
      <c r="A95" s="4">
        <v>5090</v>
      </c>
      <c r="B95" s="4">
        <v>20240108</v>
      </c>
      <c r="C95" s="4" t="s">
        <v>636</v>
      </c>
      <c r="D95" s="4">
        <v>1160.8599999999999</v>
      </c>
      <c r="E95" s="4">
        <v>126.05</v>
      </c>
    </row>
    <row r="96" spans="1:5">
      <c r="A96" s="4">
        <v>5090</v>
      </c>
      <c r="B96" s="4">
        <v>20240110</v>
      </c>
      <c r="C96" s="4" t="s">
        <v>109</v>
      </c>
      <c r="D96" s="4">
        <v>2369.8000000000002</v>
      </c>
      <c r="E96" s="4">
        <v>2369.8000000000002</v>
      </c>
    </row>
    <row r="97" spans="1:5">
      <c r="A97" s="4">
        <v>5071</v>
      </c>
      <c r="B97" s="4">
        <v>20240101</v>
      </c>
      <c r="C97" s="4" t="s">
        <v>636</v>
      </c>
      <c r="D97" s="4">
        <v>4986.8599999999997</v>
      </c>
      <c r="E97" s="4">
        <v>3233.53</v>
      </c>
    </row>
    <row r="98" spans="1:5">
      <c r="A98" s="4">
        <v>5071</v>
      </c>
      <c r="B98" s="4">
        <v>20240103</v>
      </c>
      <c r="C98" s="4" t="s">
        <v>109</v>
      </c>
      <c r="D98" s="4">
        <v>3405.63</v>
      </c>
      <c r="E98" s="4">
        <v>3405.63</v>
      </c>
    </row>
    <row r="99" spans="1:5">
      <c r="A99" s="4">
        <v>5071</v>
      </c>
      <c r="B99" s="4">
        <v>20240107</v>
      </c>
      <c r="C99" s="4" t="s">
        <v>109</v>
      </c>
      <c r="D99" s="4">
        <v>2839.99</v>
      </c>
      <c r="E99" s="4">
        <v>2839.99</v>
      </c>
    </row>
    <row r="100" spans="1:5">
      <c r="A100" s="4">
        <v>5071</v>
      </c>
      <c r="B100" s="4">
        <v>20240108</v>
      </c>
      <c r="C100" s="4" t="s">
        <v>109</v>
      </c>
      <c r="D100" s="4">
        <v>4478.3900000000003</v>
      </c>
      <c r="E100" s="4">
        <v>4478.3900000000003</v>
      </c>
    </row>
    <row r="101" spans="1:5">
      <c r="A101" s="4">
        <v>5071</v>
      </c>
      <c r="B101" s="4">
        <v>20240110</v>
      </c>
      <c r="C101" s="4" t="s">
        <v>109</v>
      </c>
      <c r="D101" s="4">
        <v>3616.68</v>
      </c>
      <c r="E101" s="4">
        <v>3616.68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1796-3A02-4B9A-B0B2-637FA2D7AB2A}">
  <dimension ref="A1:H54"/>
  <sheetViews>
    <sheetView workbookViewId="0">
      <selection activeCell="H28" sqref="H28"/>
    </sheetView>
  </sheetViews>
  <sheetFormatPr defaultRowHeight="14.4"/>
  <sheetData>
    <row r="1" spans="1:8">
      <c r="A1" s="13" t="s">
        <v>148</v>
      </c>
      <c r="B1" s="13" t="s">
        <v>964</v>
      </c>
      <c r="C1" s="13" t="s">
        <v>6</v>
      </c>
      <c r="D1" s="13" t="s">
        <v>153</v>
      </c>
      <c r="E1" s="13" t="s">
        <v>155</v>
      </c>
      <c r="F1" s="13" t="s">
        <v>158</v>
      </c>
      <c r="G1" s="13" t="s">
        <v>160</v>
      </c>
      <c r="H1" s="13" t="s">
        <v>96</v>
      </c>
    </row>
    <row r="2" spans="1:8">
      <c r="A2" s="14">
        <v>3301</v>
      </c>
      <c r="B2" s="14">
        <v>5003</v>
      </c>
      <c r="C2" s="14">
        <v>1007</v>
      </c>
      <c r="D2" s="14" t="s">
        <v>646</v>
      </c>
      <c r="E2" s="14">
        <v>7</v>
      </c>
      <c r="F2" s="14">
        <v>23864.07</v>
      </c>
      <c r="G2" s="14" t="s">
        <v>647</v>
      </c>
      <c r="H2" s="14" t="s">
        <v>163</v>
      </c>
    </row>
    <row r="3" spans="1:8">
      <c r="A3" s="14">
        <v>3302</v>
      </c>
      <c r="B3" s="14">
        <v>5036</v>
      </c>
      <c r="C3" s="14">
        <v>1025</v>
      </c>
      <c r="D3" s="14" t="s">
        <v>646</v>
      </c>
      <c r="E3" s="14">
        <v>16</v>
      </c>
      <c r="F3" s="14">
        <v>9528.02</v>
      </c>
      <c r="G3" s="14" t="s">
        <v>648</v>
      </c>
      <c r="H3" s="14" t="s">
        <v>163</v>
      </c>
    </row>
    <row r="4" spans="1:8">
      <c r="A4" s="14">
        <v>3303</v>
      </c>
      <c r="B4" s="14">
        <v>5061</v>
      </c>
      <c r="C4" s="14">
        <v>1036</v>
      </c>
      <c r="D4" s="14" t="s">
        <v>649</v>
      </c>
      <c r="E4" s="14">
        <v>11</v>
      </c>
      <c r="F4" s="14">
        <v>216974.22</v>
      </c>
      <c r="G4" s="14" t="s">
        <v>650</v>
      </c>
      <c r="H4" s="14" t="s">
        <v>163</v>
      </c>
    </row>
    <row r="5" spans="1:8">
      <c r="A5" s="14">
        <v>3304</v>
      </c>
      <c r="B5" s="14">
        <v>5071</v>
      </c>
      <c r="C5" s="14">
        <v>1025</v>
      </c>
      <c r="D5" s="14" t="s">
        <v>651</v>
      </c>
      <c r="E5" s="14">
        <v>18</v>
      </c>
      <c r="F5" s="14">
        <v>15688.78</v>
      </c>
      <c r="G5" s="14" t="s">
        <v>652</v>
      </c>
      <c r="H5" s="14" t="s">
        <v>163</v>
      </c>
    </row>
    <row r="6" spans="1:8">
      <c r="A6" s="14">
        <v>3305</v>
      </c>
      <c r="B6" s="14">
        <v>5078</v>
      </c>
      <c r="C6" s="14">
        <v>1041</v>
      </c>
      <c r="D6" s="14" t="s">
        <v>649</v>
      </c>
      <c r="E6" s="14">
        <v>11</v>
      </c>
      <c r="F6" s="14">
        <v>10268.07</v>
      </c>
      <c r="G6" s="14" t="s">
        <v>653</v>
      </c>
      <c r="H6" s="14" t="s">
        <v>654</v>
      </c>
    </row>
    <row r="7" spans="1:8">
      <c r="A7" s="14">
        <v>3306</v>
      </c>
      <c r="B7" s="14">
        <v>5015</v>
      </c>
      <c r="C7" s="14">
        <v>1037</v>
      </c>
      <c r="D7" s="14" t="s">
        <v>649</v>
      </c>
      <c r="E7" s="14">
        <v>19</v>
      </c>
      <c r="F7" s="14">
        <v>4265.63</v>
      </c>
      <c r="G7" s="14" t="s">
        <v>655</v>
      </c>
      <c r="H7" s="14" t="s">
        <v>163</v>
      </c>
    </row>
    <row r="8" spans="1:8">
      <c r="A8" s="14">
        <v>3307</v>
      </c>
      <c r="B8" s="14">
        <v>5024</v>
      </c>
      <c r="C8" s="14">
        <v>1051</v>
      </c>
      <c r="D8" s="14" t="s">
        <v>656</v>
      </c>
      <c r="E8" s="14">
        <v>17</v>
      </c>
      <c r="F8" s="14">
        <v>7228.18</v>
      </c>
      <c r="G8" s="14" t="s">
        <v>657</v>
      </c>
      <c r="H8" s="14" t="s">
        <v>163</v>
      </c>
    </row>
    <row r="9" spans="1:8">
      <c r="A9" s="14">
        <v>3308</v>
      </c>
      <c r="B9" s="14">
        <v>5034</v>
      </c>
      <c r="C9" s="14">
        <v>1010</v>
      </c>
      <c r="D9" s="14" t="s">
        <v>656</v>
      </c>
      <c r="E9" s="14">
        <v>8</v>
      </c>
      <c r="F9" s="14">
        <v>159005.76000000001</v>
      </c>
      <c r="G9" s="14" t="s">
        <v>658</v>
      </c>
      <c r="H9" s="14" t="s">
        <v>654</v>
      </c>
    </row>
    <row r="10" spans="1:8">
      <c r="A10" s="14">
        <v>3309</v>
      </c>
      <c r="B10" s="14">
        <v>5043</v>
      </c>
      <c r="C10" s="14">
        <v>1052</v>
      </c>
      <c r="D10" s="14" t="s">
        <v>651</v>
      </c>
      <c r="E10" s="14">
        <v>18</v>
      </c>
      <c r="F10" s="14">
        <v>1802.39</v>
      </c>
      <c r="G10" s="14" t="s">
        <v>659</v>
      </c>
      <c r="H10" s="14" t="s">
        <v>163</v>
      </c>
    </row>
    <row r="11" spans="1:8">
      <c r="A11" s="14">
        <v>3310</v>
      </c>
      <c r="B11" s="14">
        <v>5056</v>
      </c>
      <c r="C11" s="14">
        <v>1006</v>
      </c>
      <c r="D11" s="14" t="s">
        <v>646</v>
      </c>
      <c r="E11" s="14">
        <v>11</v>
      </c>
      <c r="F11" s="14">
        <v>306810.06</v>
      </c>
      <c r="G11" s="14" t="s">
        <v>660</v>
      </c>
      <c r="H11" s="14" t="s">
        <v>654</v>
      </c>
    </row>
    <row r="12" spans="1:8">
      <c r="A12" s="14">
        <v>3311</v>
      </c>
      <c r="B12" s="14">
        <v>5057</v>
      </c>
      <c r="C12" s="14">
        <v>1039</v>
      </c>
      <c r="D12" s="14" t="s">
        <v>656</v>
      </c>
      <c r="E12" s="14">
        <v>17</v>
      </c>
      <c r="F12" s="14">
        <v>4370.67</v>
      </c>
      <c r="G12" s="14" t="s">
        <v>661</v>
      </c>
      <c r="H12" s="14" t="s">
        <v>163</v>
      </c>
    </row>
    <row r="13" spans="1:8">
      <c r="A13" s="14">
        <v>3312</v>
      </c>
      <c r="B13" s="14">
        <v>5064</v>
      </c>
      <c r="C13" s="14">
        <v>1042</v>
      </c>
      <c r="D13" s="14" t="s">
        <v>154</v>
      </c>
      <c r="E13" s="14">
        <v>18</v>
      </c>
      <c r="F13" s="14">
        <v>571.4</v>
      </c>
      <c r="G13" s="14" t="s">
        <v>662</v>
      </c>
      <c r="H13" s="14" t="s">
        <v>663</v>
      </c>
    </row>
    <row r="14" spans="1:8">
      <c r="A14" s="14">
        <v>3313</v>
      </c>
      <c r="B14" s="14">
        <v>5075</v>
      </c>
      <c r="C14" s="14">
        <v>1041</v>
      </c>
      <c r="D14" s="14" t="s">
        <v>154</v>
      </c>
      <c r="E14" s="14">
        <v>4</v>
      </c>
      <c r="F14" s="14">
        <v>649693.05000000005</v>
      </c>
      <c r="G14" s="14" t="s">
        <v>664</v>
      </c>
      <c r="H14" s="14" t="s">
        <v>163</v>
      </c>
    </row>
    <row r="15" spans="1:8">
      <c r="A15" s="14">
        <v>3314</v>
      </c>
      <c r="B15" s="14">
        <v>5076</v>
      </c>
      <c r="C15" s="14">
        <v>1016</v>
      </c>
      <c r="D15" s="14" t="s">
        <v>154</v>
      </c>
      <c r="E15" s="14">
        <v>4</v>
      </c>
      <c r="F15" s="14">
        <v>2845.59</v>
      </c>
      <c r="G15" s="14" t="s">
        <v>665</v>
      </c>
      <c r="H15" s="14" t="s">
        <v>163</v>
      </c>
    </row>
    <row r="16" spans="1:8">
      <c r="A16" s="14">
        <v>3315</v>
      </c>
      <c r="B16" s="14">
        <v>5080</v>
      </c>
      <c r="C16" s="14">
        <v>1056</v>
      </c>
      <c r="D16" s="14" t="s">
        <v>651</v>
      </c>
      <c r="E16" s="14">
        <v>3</v>
      </c>
      <c r="F16" s="14">
        <v>176859.84</v>
      </c>
      <c r="G16" s="14" t="s">
        <v>666</v>
      </c>
      <c r="H16" s="14" t="s">
        <v>654</v>
      </c>
    </row>
    <row r="17" spans="1:8">
      <c r="A17" s="14">
        <v>3316</v>
      </c>
      <c r="B17" s="14">
        <v>5084</v>
      </c>
      <c r="C17" s="14">
        <v>1042</v>
      </c>
      <c r="D17" s="14" t="s">
        <v>646</v>
      </c>
      <c r="E17" s="14">
        <v>11</v>
      </c>
      <c r="F17" s="14">
        <v>1116.83</v>
      </c>
      <c r="G17" s="14" t="s">
        <v>667</v>
      </c>
      <c r="H17" s="14" t="s">
        <v>163</v>
      </c>
    </row>
    <row r="18" spans="1:8">
      <c r="A18" s="14">
        <v>3317</v>
      </c>
      <c r="B18" s="14">
        <v>5089</v>
      </c>
      <c r="C18" s="14">
        <v>1035</v>
      </c>
      <c r="D18" s="14" t="s">
        <v>154</v>
      </c>
      <c r="E18" s="14">
        <v>17</v>
      </c>
      <c r="F18" s="14">
        <v>1033.6199999999999</v>
      </c>
      <c r="G18" s="14" t="s">
        <v>668</v>
      </c>
      <c r="H18" s="14" t="s">
        <v>163</v>
      </c>
    </row>
    <row r="19" spans="1:8">
      <c r="A19" s="14">
        <v>3318</v>
      </c>
      <c r="B19" s="14">
        <v>5010</v>
      </c>
      <c r="C19" s="14">
        <v>1039</v>
      </c>
      <c r="D19" s="14" t="s">
        <v>649</v>
      </c>
      <c r="E19" s="14">
        <v>16</v>
      </c>
      <c r="F19" s="14">
        <v>35490.99</v>
      </c>
      <c r="G19" s="14" t="s">
        <v>669</v>
      </c>
      <c r="H19" s="14" t="s">
        <v>654</v>
      </c>
    </row>
    <row r="20" spans="1:8">
      <c r="A20" s="14">
        <v>3319</v>
      </c>
      <c r="B20" s="14">
        <v>5026</v>
      </c>
      <c r="C20" s="14">
        <v>1045</v>
      </c>
      <c r="D20" s="14" t="s">
        <v>154</v>
      </c>
      <c r="E20" s="14">
        <v>8</v>
      </c>
      <c r="F20" s="14">
        <v>10688.12</v>
      </c>
      <c r="G20" s="14" t="s">
        <v>670</v>
      </c>
      <c r="H20" s="14" t="s">
        <v>163</v>
      </c>
    </row>
    <row r="21" spans="1:8">
      <c r="A21" s="14">
        <v>3320</v>
      </c>
      <c r="B21" s="14">
        <v>5070</v>
      </c>
      <c r="C21" s="14">
        <v>1014</v>
      </c>
      <c r="D21" s="14" t="s">
        <v>651</v>
      </c>
      <c r="E21" s="14">
        <v>10</v>
      </c>
      <c r="F21" s="14">
        <v>2056.98</v>
      </c>
      <c r="G21" s="14" t="s">
        <v>671</v>
      </c>
      <c r="H21" s="14" t="s">
        <v>163</v>
      </c>
    </row>
    <row r="22" spans="1:8">
      <c r="A22" s="14">
        <v>3321</v>
      </c>
      <c r="B22" s="14">
        <v>5058</v>
      </c>
      <c r="C22" s="14">
        <v>1050</v>
      </c>
      <c r="D22" s="14" t="s">
        <v>651</v>
      </c>
      <c r="E22" s="14">
        <v>18</v>
      </c>
      <c r="F22" s="14">
        <v>98537.73</v>
      </c>
      <c r="G22" s="14" t="s">
        <v>672</v>
      </c>
      <c r="H22" s="14" t="s">
        <v>163</v>
      </c>
    </row>
    <row r="23" spans="1:8">
      <c r="A23" s="14">
        <v>3322</v>
      </c>
      <c r="B23" s="14">
        <v>5065</v>
      </c>
      <c r="C23" s="14">
        <v>1059</v>
      </c>
      <c r="D23" s="14" t="s">
        <v>656</v>
      </c>
      <c r="E23" s="14">
        <v>11</v>
      </c>
      <c r="F23" s="14">
        <v>674.26</v>
      </c>
      <c r="G23" s="14" t="s">
        <v>673</v>
      </c>
      <c r="H23" s="14" t="s">
        <v>663</v>
      </c>
    </row>
    <row r="24" spans="1:8">
      <c r="A24" s="14">
        <v>3323</v>
      </c>
      <c r="B24" s="14">
        <v>5087</v>
      </c>
      <c r="C24" s="14">
        <v>1043</v>
      </c>
      <c r="D24" s="14" t="s">
        <v>154</v>
      </c>
      <c r="E24" s="14">
        <v>17</v>
      </c>
      <c r="F24" s="14">
        <v>3302.25</v>
      </c>
      <c r="G24" s="14" t="s">
        <v>674</v>
      </c>
      <c r="H24" s="14" t="s">
        <v>163</v>
      </c>
    </row>
    <row r="25" spans="1:8">
      <c r="A25" s="14">
        <v>3324</v>
      </c>
      <c r="B25" s="14">
        <v>5051</v>
      </c>
      <c r="C25" s="14">
        <v>1014</v>
      </c>
      <c r="D25" s="14" t="s">
        <v>154</v>
      </c>
      <c r="E25" s="14">
        <v>8</v>
      </c>
      <c r="F25" s="14">
        <v>6996.01</v>
      </c>
      <c r="G25" s="14" t="s">
        <v>675</v>
      </c>
      <c r="H25" s="14" t="s">
        <v>654</v>
      </c>
    </row>
    <row r="26" spans="1:8">
      <c r="A26" s="14">
        <v>3325</v>
      </c>
      <c r="B26" s="14">
        <v>5007</v>
      </c>
      <c r="C26" s="14">
        <v>1049</v>
      </c>
      <c r="D26" s="14" t="s">
        <v>646</v>
      </c>
      <c r="E26" s="14">
        <v>14</v>
      </c>
      <c r="F26" s="14">
        <v>97597.28</v>
      </c>
      <c r="G26" s="14" t="s">
        <v>676</v>
      </c>
      <c r="H26" s="14" t="s">
        <v>163</v>
      </c>
    </row>
    <row r="27" spans="1:8">
      <c r="A27" s="14">
        <v>3326</v>
      </c>
      <c r="B27" s="14">
        <v>5079</v>
      </c>
      <c r="C27" s="14">
        <v>1033</v>
      </c>
      <c r="D27" s="14" t="s">
        <v>154</v>
      </c>
      <c r="E27" s="14">
        <v>3</v>
      </c>
      <c r="F27" s="14">
        <v>503.89</v>
      </c>
      <c r="G27" s="14" t="s">
        <v>677</v>
      </c>
      <c r="H27" s="14" t="s">
        <v>663</v>
      </c>
    </row>
    <row r="28" spans="1:8">
      <c r="A28" s="14">
        <v>3327</v>
      </c>
      <c r="B28" s="14">
        <v>5053</v>
      </c>
      <c r="C28" s="14">
        <v>1004</v>
      </c>
      <c r="D28" s="14" t="s">
        <v>646</v>
      </c>
      <c r="E28" s="14">
        <v>5</v>
      </c>
      <c r="F28" s="14">
        <v>63331.8</v>
      </c>
      <c r="G28" s="14" t="s">
        <v>678</v>
      </c>
      <c r="H28" s="14" t="s">
        <v>663</v>
      </c>
    </row>
    <row r="29" spans="1:8">
      <c r="A29" s="14">
        <v>3328</v>
      </c>
      <c r="B29" s="14">
        <v>5074</v>
      </c>
      <c r="C29" s="14">
        <v>1038</v>
      </c>
      <c r="D29" s="14" t="s">
        <v>649</v>
      </c>
      <c r="E29" s="14">
        <v>13</v>
      </c>
      <c r="F29" s="14">
        <v>24827.14</v>
      </c>
      <c r="G29" s="14" t="s">
        <v>679</v>
      </c>
      <c r="H29" s="14" t="s">
        <v>163</v>
      </c>
    </row>
    <row r="30" spans="1:8">
      <c r="A30" s="14">
        <v>3329</v>
      </c>
      <c r="B30" s="14">
        <v>5013</v>
      </c>
      <c r="C30" s="14">
        <v>1029</v>
      </c>
      <c r="D30" s="14" t="s">
        <v>656</v>
      </c>
      <c r="E30" s="14">
        <v>4</v>
      </c>
      <c r="F30" s="14">
        <v>217109.9</v>
      </c>
      <c r="G30" s="14" t="s">
        <v>680</v>
      </c>
      <c r="H30" s="14" t="s">
        <v>654</v>
      </c>
    </row>
    <row r="31" spans="1:8">
      <c r="A31" s="14">
        <v>3330</v>
      </c>
      <c r="B31" s="14">
        <v>5009</v>
      </c>
      <c r="C31" s="14">
        <v>1017</v>
      </c>
      <c r="D31" s="14" t="s">
        <v>646</v>
      </c>
      <c r="E31" s="14">
        <v>3</v>
      </c>
      <c r="F31" s="14">
        <v>8133.41</v>
      </c>
      <c r="G31" s="14" t="s">
        <v>681</v>
      </c>
      <c r="H31" s="14" t="s">
        <v>163</v>
      </c>
    </row>
    <row r="32" spans="1:8">
      <c r="A32" s="14">
        <v>3331</v>
      </c>
      <c r="B32" s="14">
        <v>5005</v>
      </c>
      <c r="C32" s="14">
        <v>1031</v>
      </c>
      <c r="D32" s="14" t="s">
        <v>649</v>
      </c>
      <c r="E32" s="14">
        <v>15</v>
      </c>
      <c r="F32" s="14">
        <v>1916.77</v>
      </c>
      <c r="G32" s="14" t="s">
        <v>682</v>
      </c>
      <c r="H32" s="14" t="s">
        <v>163</v>
      </c>
    </row>
    <row r="33" spans="1:8">
      <c r="A33" s="14">
        <v>3332</v>
      </c>
      <c r="B33" s="14">
        <v>5066</v>
      </c>
      <c r="C33" s="14">
        <v>1048</v>
      </c>
      <c r="D33" s="14" t="s">
        <v>646</v>
      </c>
      <c r="E33" s="14">
        <v>1</v>
      </c>
      <c r="F33" s="14">
        <v>1859.35</v>
      </c>
      <c r="G33" s="14" t="s">
        <v>683</v>
      </c>
      <c r="H33" s="14" t="s">
        <v>163</v>
      </c>
    </row>
    <row r="34" spans="1:8">
      <c r="A34" s="14">
        <v>3333</v>
      </c>
      <c r="B34" s="14">
        <v>5018</v>
      </c>
      <c r="C34" s="14">
        <v>1036</v>
      </c>
      <c r="D34" s="14" t="s">
        <v>154</v>
      </c>
      <c r="E34" s="14">
        <v>2</v>
      </c>
      <c r="F34" s="14">
        <v>153239.66</v>
      </c>
      <c r="G34" s="14" t="s">
        <v>684</v>
      </c>
      <c r="H34" s="14" t="s">
        <v>663</v>
      </c>
    </row>
    <row r="35" spans="1:8">
      <c r="A35" s="14">
        <v>3334</v>
      </c>
      <c r="B35" s="14">
        <v>5055</v>
      </c>
      <c r="C35" s="14">
        <v>1002</v>
      </c>
      <c r="D35" s="14" t="s">
        <v>646</v>
      </c>
      <c r="E35" s="14">
        <v>2</v>
      </c>
      <c r="F35" s="14">
        <v>15604.84</v>
      </c>
      <c r="G35" s="14" t="s">
        <v>685</v>
      </c>
      <c r="H35" s="14" t="s">
        <v>163</v>
      </c>
    </row>
    <row r="36" spans="1:8">
      <c r="A36" s="14">
        <v>3335</v>
      </c>
      <c r="B36" s="14">
        <v>5041</v>
      </c>
      <c r="C36" s="14">
        <v>1024</v>
      </c>
      <c r="D36" s="14" t="s">
        <v>649</v>
      </c>
      <c r="E36" s="14">
        <v>17</v>
      </c>
      <c r="F36" s="14">
        <v>253413.99</v>
      </c>
      <c r="G36" s="14" t="s">
        <v>686</v>
      </c>
      <c r="H36" s="14" t="s">
        <v>163</v>
      </c>
    </row>
    <row r="37" spans="1:8">
      <c r="A37" s="14">
        <v>3336</v>
      </c>
      <c r="B37" s="14">
        <v>5032</v>
      </c>
      <c r="C37" s="14">
        <v>1003</v>
      </c>
      <c r="D37" s="14" t="s">
        <v>651</v>
      </c>
      <c r="E37" s="14">
        <v>11</v>
      </c>
      <c r="F37" s="14">
        <v>17483.37</v>
      </c>
      <c r="G37" s="14" t="s">
        <v>680</v>
      </c>
      <c r="H37" s="14" t="s">
        <v>163</v>
      </c>
    </row>
    <row r="38" spans="1:8">
      <c r="A38" s="14">
        <v>3337</v>
      </c>
      <c r="B38" s="14">
        <v>5006</v>
      </c>
      <c r="C38" s="14">
        <v>1005</v>
      </c>
      <c r="D38" s="14" t="s">
        <v>649</v>
      </c>
      <c r="E38" s="14">
        <v>19</v>
      </c>
      <c r="F38" s="14">
        <v>17604.11</v>
      </c>
      <c r="G38" s="14" t="s">
        <v>687</v>
      </c>
      <c r="H38" s="14" t="s">
        <v>163</v>
      </c>
    </row>
    <row r="39" spans="1:8">
      <c r="A39" s="14">
        <v>3338</v>
      </c>
      <c r="B39" s="14">
        <v>5014</v>
      </c>
      <c r="C39" s="14">
        <v>1003</v>
      </c>
      <c r="D39" s="14" t="s">
        <v>646</v>
      </c>
      <c r="E39" s="14">
        <v>14</v>
      </c>
      <c r="F39" s="14">
        <v>246413.34</v>
      </c>
      <c r="G39" s="14" t="s">
        <v>688</v>
      </c>
      <c r="H39" s="14" t="s">
        <v>654</v>
      </c>
    </row>
    <row r="40" spans="1:8">
      <c r="A40" s="14">
        <v>3339</v>
      </c>
      <c r="B40" s="14">
        <v>5048</v>
      </c>
      <c r="C40" s="14">
        <v>1018</v>
      </c>
      <c r="D40" s="14" t="s">
        <v>154</v>
      </c>
      <c r="E40" s="14">
        <v>2</v>
      </c>
      <c r="F40" s="14">
        <v>22221.43</v>
      </c>
      <c r="G40" s="14" t="s">
        <v>673</v>
      </c>
      <c r="H40" s="14" t="s">
        <v>163</v>
      </c>
    </row>
    <row r="41" spans="1:8">
      <c r="A41" s="14">
        <v>3340</v>
      </c>
      <c r="B41" s="14">
        <v>5012</v>
      </c>
      <c r="C41" s="14">
        <v>1059</v>
      </c>
      <c r="D41" s="14" t="s">
        <v>656</v>
      </c>
      <c r="E41" s="14">
        <v>9</v>
      </c>
      <c r="F41" s="14">
        <v>68175</v>
      </c>
      <c r="G41" s="14" t="s">
        <v>689</v>
      </c>
      <c r="H41" s="14" t="s">
        <v>163</v>
      </c>
    </row>
    <row r="42" spans="1:8">
      <c r="A42" s="14">
        <v>3341</v>
      </c>
      <c r="B42" s="14">
        <v>5054</v>
      </c>
      <c r="C42" s="14">
        <v>1007</v>
      </c>
      <c r="D42" s="14" t="s">
        <v>154</v>
      </c>
      <c r="E42" s="14">
        <v>15</v>
      </c>
      <c r="F42" s="14">
        <v>426185.8</v>
      </c>
      <c r="G42" s="14" t="s">
        <v>690</v>
      </c>
      <c r="H42" s="14" t="s">
        <v>163</v>
      </c>
    </row>
    <row r="43" spans="1:8">
      <c r="A43" s="14">
        <v>3342</v>
      </c>
      <c r="B43" s="14">
        <v>5046</v>
      </c>
      <c r="C43" s="14">
        <v>1003</v>
      </c>
      <c r="D43" s="14" t="s">
        <v>656</v>
      </c>
      <c r="E43" s="14">
        <v>2</v>
      </c>
      <c r="F43" s="14">
        <v>1396.2</v>
      </c>
      <c r="G43" s="14" t="s">
        <v>691</v>
      </c>
      <c r="H43" s="14" t="s">
        <v>163</v>
      </c>
    </row>
    <row r="44" spans="1:8">
      <c r="A44" s="14">
        <v>3343</v>
      </c>
      <c r="B44" s="14">
        <v>5047</v>
      </c>
      <c r="C44" s="14">
        <v>1048</v>
      </c>
      <c r="D44" s="14" t="s">
        <v>649</v>
      </c>
      <c r="E44" s="14">
        <v>18</v>
      </c>
      <c r="F44" s="14">
        <v>106587.8</v>
      </c>
      <c r="G44" s="14" t="s">
        <v>692</v>
      </c>
      <c r="H44" s="14" t="s">
        <v>163</v>
      </c>
    </row>
    <row r="45" spans="1:8">
      <c r="A45" s="14">
        <v>3344</v>
      </c>
      <c r="B45" s="14">
        <v>5033</v>
      </c>
      <c r="C45" s="14">
        <v>1051</v>
      </c>
      <c r="D45" s="14" t="s">
        <v>154</v>
      </c>
      <c r="E45" s="14">
        <v>6</v>
      </c>
      <c r="F45" s="14">
        <v>13976.01</v>
      </c>
      <c r="G45" s="14" t="s">
        <v>693</v>
      </c>
      <c r="H45" s="14" t="s">
        <v>654</v>
      </c>
    </row>
    <row r="46" spans="1:8">
      <c r="A46" s="14">
        <v>3345</v>
      </c>
      <c r="B46" s="14">
        <v>5035</v>
      </c>
      <c r="C46" s="14">
        <v>1005</v>
      </c>
      <c r="D46" s="14" t="s">
        <v>651</v>
      </c>
      <c r="E46" s="14">
        <v>15</v>
      </c>
      <c r="F46" s="14">
        <v>7005.05</v>
      </c>
      <c r="G46" s="14" t="s">
        <v>668</v>
      </c>
      <c r="H46" s="14" t="s">
        <v>654</v>
      </c>
    </row>
    <row r="47" spans="1:8">
      <c r="A47" s="14">
        <v>3346</v>
      </c>
      <c r="B47" s="14">
        <v>5017</v>
      </c>
      <c r="C47" s="14">
        <v>1043</v>
      </c>
      <c r="D47" s="14" t="s">
        <v>656</v>
      </c>
      <c r="E47" s="14">
        <v>4</v>
      </c>
      <c r="F47" s="14">
        <v>64419.82</v>
      </c>
      <c r="G47" s="14" t="s">
        <v>694</v>
      </c>
      <c r="H47" s="14" t="s">
        <v>163</v>
      </c>
    </row>
    <row r="48" spans="1:8">
      <c r="A48" s="14">
        <v>3347</v>
      </c>
      <c r="B48" s="14">
        <v>5028</v>
      </c>
      <c r="C48" s="14">
        <v>1056</v>
      </c>
      <c r="D48" s="14" t="s">
        <v>656</v>
      </c>
      <c r="E48" s="14">
        <v>15</v>
      </c>
      <c r="F48" s="14">
        <v>8079.32</v>
      </c>
      <c r="G48" s="14" t="s">
        <v>695</v>
      </c>
      <c r="H48" s="14" t="s">
        <v>163</v>
      </c>
    </row>
    <row r="49" spans="1:8">
      <c r="A49" s="14">
        <v>3348</v>
      </c>
      <c r="B49" s="14">
        <v>5037</v>
      </c>
      <c r="C49" s="14">
        <v>1054</v>
      </c>
      <c r="D49" s="14" t="s">
        <v>656</v>
      </c>
      <c r="E49" s="14">
        <v>13</v>
      </c>
      <c r="F49" s="14">
        <v>27945.31</v>
      </c>
      <c r="G49" s="14" t="s">
        <v>696</v>
      </c>
      <c r="H49" s="14" t="s">
        <v>163</v>
      </c>
    </row>
    <row r="50" spans="1:8">
      <c r="A50" s="14">
        <v>3349</v>
      </c>
      <c r="B50" s="14">
        <v>5081</v>
      </c>
      <c r="C50" s="14">
        <v>1029</v>
      </c>
      <c r="D50" s="14" t="s">
        <v>154</v>
      </c>
      <c r="E50" s="14">
        <v>19</v>
      </c>
      <c r="F50" s="14">
        <v>38211.5</v>
      </c>
      <c r="G50" s="14" t="s">
        <v>697</v>
      </c>
      <c r="H50" s="14" t="s">
        <v>663</v>
      </c>
    </row>
    <row r="51" spans="1:8">
      <c r="A51" s="14">
        <v>3350</v>
      </c>
      <c r="B51" s="14">
        <v>5072</v>
      </c>
      <c r="C51" s="14">
        <v>1002</v>
      </c>
      <c r="D51" s="14" t="s">
        <v>646</v>
      </c>
      <c r="E51" s="14">
        <v>15</v>
      </c>
      <c r="F51" s="14">
        <v>21761.02</v>
      </c>
      <c r="G51" s="14" t="s">
        <v>660</v>
      </c>
      <c r="H51" s="14" t="s">
        <v>163</v>
      </c>
    </row>
    <row r="52" spans="1:8">
      <c r="A52" s="14">
        <v>3351</v>
      </c>
      <c r="B52" s="14">
        <v>5068</v>
      </c>
      <c r="C52" s="14">
        <v>1043</v>
      </c>
      <c r="D52" s="14" t="s">
        <v>651</v>
      </c>
      <c r="E52" s="14">
        <v>14</v>
      </c>
      <c r="F52" s="14">
        <v>26831.17</v>
      </c>
      <c r="G52" s="14" t="s">
        <v>698</v>
      </c>
      <c r="H52" s="14" t="s">
        <v>163</v>
      </c>
    </row>
    <row r="53" spans="1:8">
      <c r="A53" s="14">
        <v>3352</v>
      </c>
      <c r="B53" s="14">
        <v>5059</v>
      </c>
      <c r="C53" s="14">
        <v>1047</v>
      </c>
      <c r="D53" s="14" t="s">
        <v>651</v>
      </c>
      <c r="E53" s="14">
        <v>4</v>
      </c>
      <c r="F53" s="14">
        <v>3968.1</v>
      </c>
      <c r="G53" s="14" t="s">
        <v>699</v>
      </c>
      <c r="H53" s="14" t="s">
        <v>163</v>
      </c>
    </row>
    <row r="54" spans="1:8">
      <c r="A54" s="14">
        <v>3353</v>
      </c>
      <c r="B54" s="14">
        <v>5077</v>
      </c>
      <c r="C54" s="14">
        <v>1049</v>
      </c>
      <c r="D54" s="14" t="s">
        <v>656</v>
      </c>
      <c r="E54" s="14">
        <v>19</v>
      </c>
      <c r="F54" s="14">
        <v>182651.23</v>
      </c>
      <c r="G54" s="14" t="s">
        <v>700</v>
      </c>
      <c r="H54" s="14" t="s">
        <v>654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4"/>
  <sheetViews>
    <sheetView zoomScaleNormal="100" workbookViewId="0">
      <pane ySplit="1" topLeftCell="A2" activePane="bottomLeft" state="frozen"/>
      <selection activeCell="A55" sqref="A55"/>
      <selection pane="bottomLeft" activeCell="A55" sqref="A55"/>
    </sheetView>
  </sheetViews>
  <sheetFormatPr defaultColWidth="8.68359375" defaultRowHeight="14.4"/>
  <cols>
    <col min="1" max="1" width="14" customWidth="1"/>
    <col min="2" max="2" width="15" customWidth="1"/>
    <col min="3" max="3" width="14" customWidth="1"/>
    <col min="4" max="4" width="15" customWidth="1"/>
  </cols>
  <sheetData>
    <row r="1" spans="1:4">
      <c r="A1" s="3" t="s">
        <v>115</v>
      </c>
      <c r="B1" s="3" t="s">
        <v>6</v>
      </c>
      <c r="C1" s="3" t="s">
        <v>47</v>
      </c>
      <c r="D1" s="3" t="s">
        <v>118</v>
      </c>
    </row>
    <row r="2" spans="1:4">
      <c r="A2" s="4">
        <v>90063</v>
      </c>
      <c r="B2" s="4">
        <v>1002</v>
      </c>
      <c r="C2" s="4">
        <v>20240101</v>
      </c>
      <c r="D2" s="4">
        <v>762</v>
      </c>
    </row>
    <row r="3" spans="1:4">
      <c r="A3" s="4">
        <v>90064</v>
      </c>
      <c r="B3" s="4">
        <v>1002</v>
      </c>
      <c r="C3" s="4">
        <v>20240103</v>
      </c>
      <c r="D3" s="4">
        <v>778</v>
      </c>
    </row>
    <row r="4" spans="1:4">
      <c r="A4" s="4">
        <v>90061</v>
      </c>
      <c r="B4" s="4">
        <v>1002</v>
      </c>
      <c r="C4" s="4">
        <v>20240110</v>
      </c>
      <c r="D4" s="4">
        <v>760</v>
      </c>
    </row>
    <row r="5" spans="1:4">
      <c r="A5" s="4">
        <v>90060</v>
      </c>
      <c r="B5" s="4">
        <v>1002</v>
      </c>
      <c r="C5" s="4">
        <v>20240117</v>
      </c>
      <c r="D5" s="4">
        <v>778</v>
      </c>
    </row>
    <row r="6" spans="1:4">
      <c r="A6" s="4">
        <v>90062</v>
      </c>
      <c r="B6" s="4">
        <v>1002</v>
      </c>
      <c r="C6" s="4">
        <v>20240131</v>
      </c>
      <c r="D6" s="4">
        <v>764</v>
      </c>
    </row>
    <row r="7" spans="1:4">
      <c r="A7" s="4">
        <v>90039</v>
      </c>
      <c r="B7" s="4">
        <v>1008</v>
      </c>
      <c r="C7" s="4">
        <v>20240108</v>
      </c>
      <c r="D7" s="4">
        <v>786</v>
      </c>
    </row>
    <row r="8" spans="1:4">
      <c r="A8" s="4">
        <v>90037</v>
      </c>
      <c r="B8" s="4">
        <v>1008</v>
      </c>
      <c r="C8" s="4">
        <v>20240110</v>
      </c>
      <c r="D8" s="4">
        <v>778</v>
      </c>
    </row>
    <row r="9" spans="1:4">
      <c r="A9" s="4">
        <v>90040</v>
      </c>
      <c r="B9" s="4">
        <v>1008</v>
      </c>
      <c r="C9" s="4">
        <v>20240115</v>
      </c>
      <c r="D9" s="4">
        <v>765</v>
      </c>
    </row>
    <row r="10" spans="1:4">
      <c r="A10" s="4">
        <v>90038</v>
      </c>
      <c r="B10" s="4">
        <v>1008</v>
      </c>
      <c r="C10" s="4">
        <v>20240117</v>
      </c>
      <c r="D10" s="4">
        <v>766</v>
      </c>
    </row>
    <row r="11" spans="1:4">
      <c r="A11" s="4">
        <v>90036</v>
      </c>
      <c r="B11" s="4">
        <v>1008</v>
      </c>
      <c r="C11" s="4">
        <v>20240124</v>
      </c>
      <c r="D11" s="4">
        <v>773</v>
      </c>
    </row>
    <row r="12" spans="1:4">
      <c r="A12" s="4">
        <v>90047</v>
      </c>
      <c r="B12" s="4">
        <v>1009</v>
      </c>
      <c r="C12" s="4">
        <v>20240107</v>
      </c>
      <c r="D12" s="4">
        <v>658</v>
      </c>
    </row>
    <row r="13" spans="1:4">
      <c r="A13" s="4">
        <v>90048</v>
      </c>
      <c r="B13" s="4">
        <v>1009</v>
      </c>
      <c r="C13" s="4">
        <v>20240114</v>
      </c>
      <c r="D13" s="4">
        <v>655</v>
      </c>
    </row>
    <row r="14" spans="1:4">
      <c r="A14" s="4">
        <v>90046</v>
      </c>
      <c r="B14" s="4">
        <v>1009</v>
      </c>
      <c r="C14" s="4">
        <v>20240115</v>
      </c>
      <c r="D14" s="4">
        <v>651</v>
      </c>
    </row>
    <row r="15" spans="1:4">
      <c r="A15" s="4">
        <v>90049</v>
      </c>
      <c r="B15" s="4">
        <v>1009</v>
      </c>
      <c r="C15" s="4">
        <v>20240121</v>
      </c>
      <c r="D15" s="4">
        <v>662</v>
      </c>
    </row>
    <row r="16" spans="1:4">
      <c r="A16" s="4">
        <v>90050</v>
      </c>
      <c r="B16" s="4">
        <v>1009</v>
      </c>
      <c r="C16" s="4">
        <v>20240124</v>
      </c>
      <c r="D16" s="4">
        <v>651</v>
      </c>
    </row>
    <row r="17" spans="1:4">
      <c r="A17" s="4">
        <v>90016</v>
      </c>
      <c r="B17" s="4">
        <v>1012</v>
      </c>
      <c r="C17" s="4">
        <v>20240103</v>
      </c>
      <c r="D17" s="4">
        <v>747</v>
      </c>
    </row>
    <row r="18" spans="1:4">
      <c r="A18" s="4">
        <v>90018</v>
      </c>
      <c r="B18" s="4">
        <v>1012</v>
      </c>
      <c r="C18" s="4">
        <v>20240107</v>
      </c>
      <c r="D18" s="4">
        <v>752</v>
      </c>
    </row>
    <row r="19" spans="1:4">
      <c r="A19" s="4">
        <v>90017</v>
      </c>
      <c r="B19" s="4">
        <v>1012</v>
      </c>
      <c r="C19" s="4">
        <v>20240121</v>
      </c>
      <c r="D19" s="4">
        <v>747</v>
      </c>
    </row>
    <row r="20" spans="1:4">
      <c r="A20" s="4">
        <v>90015</v>
      </c>
      <c r="B20" s="4">
        <v>1012</v>
      </c>
      <c r="C20" s="4">
        <v>20240131</v>
      </c>
      <c r="D20" s="4">
        <v>751</v>
      </c>
    </row>
    <row r="21" spans="1:4">
      <c r="A21" s="4">
        <v>90044</v>
      </c>
      <c r="B21" s="4">
        <v>1013</v>
      </c>
      <c r="C21" s="4">
        <v>20240108</v>
      </c>
      <c r="D21" s="4">
        <v>592</v>
      </c>
    </row>
    <row r="22" spans="1:4">
      <c r="A22" s="4">
        <v>90045</v>
      </c>
      <c r="B22" s="4">
        <v>1013</v>
      </c>
      <c r="C22" s="4">
        <v>20240114</v>
      </c>
      <c r="D22" s="4">
        <v>587</v>
      </c>
    </row>
    <row r="23" spans="1:4">
      <c r="A23" s="4">
        <v>90041</v>
      </c>
      <c r="B23" s="4">
        <v>1013</v>
      </c>
      <c r="C23" s="4">
        <v>20240115</v>
      </c>
      <c r="D23" s="4">
        <v>584</v>
      </c>
    </row>
    <row r="24" spans="1:4">
      <c r="A24" s="4">
        <v>90042</v>
      </c>
      <c r="B24" s="4">
        <v>1013</v>
      </c>
      <c r="C24" s="4">
        <v>20240117</v>
      </c>
      <c r="D24" s="4">
        <v>569</v>
      </c>
    </row>
    <row r="25" spans="1:4">
      <c r="A25" s="4">
        <v>90043</v>
      </c>
      <c r="B25" s="4">
        <v>1013</v>
      </c>
      <c r="C25" s="4">
        <v>20240129</v>
      </c>
      <c r="D25" s="4">
        <v>575</v>
      </c>
    </row>
    <row r="26" spans="1:4">
      <c r="A26" s="4">
        <v>90034</v>
      </c>
      <c r="B26" s="4">
        <v>1015</v>
      </c>
      <c r="C26" s="4">
        <v>20240115</v>
      </c>
      <c r="D26" s="4">
        <v>635</v>
      </c>
    </row>
    <row r="27" spans="1:4">
      <c r="A27" s="4">
        <v>90033</v>
      </c>
      <c r="B27" s="4">
        <v>1015</v>
      </c>
      <c r="C27" s="4">
        <v>20240122</v>
      </c>
      <c r="D27" s="4">
        <v>620</v>
      </c>
    </row>
    <row r="28" spans="1:4">
      <c r="A28" s="4">
        <v>90032</v>
      </c>
      <c r="B28" s="4">
        <v>1015</v>
      </c>
      <c r="C28" s="4">
        <v>20240129</v>
      </c>
      <c r="D28" s="4">
        <v>640</v>
      </c>
    </row>
    <row r="29" spans="1:4">
      <c r="A29" s="4">
        <v>90035</v>
      </c>
      <c r="B29" s="4">
        <v>1015</v>
      </c>
      <c r="C29" s="4">
        <v>20240131</v>
      </c>
      <c r="D29" s="4">
        <v>648</v>
      </c>
    </row>
    <row r="30" spans="1:4">
      <c r="A30" s="4">
        <v>90054</v>
      </c>
      <c r="B30" s="4">
        <v>1016</v>
      </c>
      <c r="C30" s="4">
        <v>20240101</v>
      </c>
      <c r="D30" s="4">
        <v>640</v>
      </c>
    </row>
    <row r="31" spans="1:4">
      <c r="A31" s="4">
        <v>90053</v>
      </c>
      <c r="B31" s="4">
        <v>1016</v>
      </c>
      <c r="C31" s="4">
        <v>20240103</v>
      </c>
      <c r="D31" s="4">
        <v>648</v>
      </c>
    </row>
    <row r="32" spans="1:4">
      <c r="A32" s="4">
        <v>90052</v>
      </c>
      <c r="B32" s="4">
        <v>1016</v>
      </c>
      <c r="C32" s="4">
        <v>20240107</v>
      </c>
      <c r="D32" s="4">
        <v>633</v>
      </c>
    </row>
    <row r="33" spans="1:4">
      <c r="A33" s="4">
        <v>90051</v>
      </c>
      <c r="B33" s="4">
        <v>1016</v>
      </c>
      <c r="C33" s="4">
        <v>20240108</v>
      </c>
      <c r="D33" s="4">
        <v>651</v>
      </c>
    </row>
    <row r="34" spans="1:4">
      <c r="A34" s="4">
        <v>90055</v>
      </c>
      <c r="B34" s="4">
        <v>1016</v>
      </c>
      <c r="C34" s="4">
        <v>20240110</v>
      </c>
      <c r="D34" s="4">
        <v>634</v>
      </c>
    </row>
    <row r="35" spans="1:4">
      <c r="A35" s="4">
        <v>90026</v>
      </c>
      <c r="B35" s="4">
        <v>1024</v>
      </c>
      <c r="C35" s="4">
        <v>20240107</v>
      </c>
      <c r="D35" s="4">
        <v>644</v>
      </c>
    </row>
    <row r="36" spans="1:4">
      <c r="A36" s="4">
        <v>90024</v>
      </c>
      <c r="B36" s="4">
        <v>1024</v>
      </c>
      <c r="C36" s="4">
        <v>20240121</v>
      </c>
      <c r="D36" s="4">
        <v>670</v>
      </c>
    </row>
    <row r="37" spans="1:4">
      <c r="A37" s="4">
        <v>90027</v>
      </c>
      <c r="B37" s="4">
        <v>1024</v>
      </c>
      <c r="C37" s="4">
        <v>20240122</v>
      </c>
      <c r="D37" s="4">
        <v>645</v>
      </c>
    </row>
    <row r="38" spans="1:4">
      <c r="A38" s="4">
        <v>90025</v>
      </c>
      <c r="B38" s="4">
        <v>1024</v>
      </c>
      <c r="C38" s="4">
        <v>20240124</v>
      </c>
      <c r="D38" s="4">
        <v>658</v>
      </c>
    </row>
    <row r="39" spans="1:4">
      <c r="A39" s="4">
        <v>90057</v>
      </c>
      <c r="B39" s="4">
        <v>1032</v>
      </c>
      <c r="C39" s="4">
        <v>20240114</v>
      </c>
      <c r="D39" s="4">
        <v>636</v>
      </c>
    </row>
    <row r="40" spans="1:4">
      <c r="A40" s="4">
        <v>90058</v>
      </c>
      <c r="B40" s="4">
        <v>1032</v>
      </c>
      <c r="C40" s="4">
        <v>20240122</v>
      </c>
      <c r="D40" s="4">
        <v>617</v>
      </c>
    </row>
    <row r="41" spans="1:4">
      <c r="A41" s="4">
        <v>90059</v>
      </c>
      <c r="B41" s="4">
        <v>1032</v>
      </c>
      <c r="C41" s="4">
        <v>20240129</v>
      </c>
      <c r="D41" s="4">
        <v>627</v>
      </c>
    </row>
    <row r="42" spans="1:4">
      <c r="A42" s="4">
        <v>90056</v>
      </c>
      <c r="B42" s="4">
        <v>1032</v>
      </c>
      <c r="C42" s="4">
        <v>20240131</v>
      </c>
      <c r="D42" s="4">
        <v>618</v>
      </c>
    </row>
    <row r="43" spans="1:4">
      <c r="A43" s="4">
        <v>90029</v>
      </c>
      <c r="B43" s="4">
        <v>1033</v>
      </c>
      <c r="C43" s="4">
        <v>20240101</v>
      </c>
      <c r="D43" s="4">
        <v>677</v>
      </c>
    </row>
    <row r="44" spans="1:4">
      <c r="A44" s="4">
        <v>90030</v>
      </c>
      <c r="B44" s="4">
        <v>1033</v>
      </c>
      <c r="C44" s="4">
        <v>20240103</v>
      </c>
      <c r="D44" s="4">
        <v>681</v>
      </c>
    </row>
    <row r="45" spans="1:4">
      <c r="A45" s="4">
        <v>90031</v>
      </c>
      <c r="B45" s="4">
        <v>1033</v>
      </c>
      <c r="C45" s="4">
        <v>20240129</v>
      </c>
      <c r="D45" s="4">
        <v>675</v>
      </c>
    </row>
    <row r="46" spans="1:4">
      <c r="A46" s="4">
        <v>90028</v>
      </c>
      <c r="B46" s="4">
        <v>1033</v>
      </c>
      <c r="C46" s="4">
        <v>20240131</v>
      </c>
      <c r="D46" s="4">
        <v>687</v>
      </c>
    </row>
    <row r="47" spans="1:4">
      <c r="A47" s="4">
        <v>90070</v>
      </c>
      <c r="B47" s="4">
        <v>1036</v>
      </c>
      <c r="C47" s="4">
        <v>20240101</v>
      </c>
      <c r="D47" s="4">
        <v>733</v>
      </c>
    </row>
    <row r="48" spans="1:4">
      <c r="A48" s="4">
        <v>90071</v>
      </c>
      <c r="B48" s="4">
        <v>1036</v>
      </c>
      <c r="C48" s="4">
        <v>20240103</v>
      </c>
      <c r="D48" s="4">
        <v>748</v>
      </c>
    </row>
    <row r="49" spans="1:4">
      <c r="A49" s="4">
        <v>90073</v>
      </c>
      <c r="B49" s="4">
        <v>1036</v>
      </c>
      <c r="C49" s="4">
        <v>20240107</v>
      </c>
      <c r="D49" s="4">
        <v>749</v>
      </c>
    </row>
    <row r="50" spans="1:4">
      <c r="A50" s="4">
        <v>90072</v>
      </c>
      <c r="B50" s="4">
        <v>1036</v>
      </c>
      <c r="C50" s="4">
        <v>20240115</v>
      </c>
      <c r="D50" s="4">
        <v>736</v>
      </c>
    </row>
    <row r="51" spans="1:4">
      <c r="A51" s="4">
        <v>90069</v>
      </c>
      <c r="B51" s="4">
        <v>1036</v>
      </c>
      <c r="C51" s="4">
        <v>20240121</v>
      </c>
      <c r="D51" s="4">
        <v>753</v>
      </c>
    </row>
    <row r="52" spans="1:4">
      <c r="A52" s="4">
        <v>90074</v>
      </c>
      <c r="B52" s="4">
        <v>1037</v>
      </c>
      <c r="C52" s="4">
        <v>20240101</v>
      </c>
      <c r="D52" s="4">
        <v>697</v>
      </c>
    </row>
    <row r="53" spans="1:4">
      <c r="A53" s="4">
        <v>90075</v>
      </c>
      <c r="B53" s="4">
        <v>1037</v>
      </c>
      <c r="C53" s="4">
        <v>20240115</v>
      </c>
      <c r="D53" s="4">
        <v>702</v>
      </c>
    </row>
    <row r="54" spans="1:4">
      <c r="A54" s="4">
        <v>90078</v>
      </c>
      <c r="B54" s="4">
        <v>1037</v>
      </c>
      <c r="C54" s="4">
        <v>20240121</v>
      </c>
      <c r="D54" s="4">
        <v>693</v>
      </c>
    </row>
    <row r="55" spans="1:4">
      <c r="A55" s="4">
        <v>90077</v>
      </c>
      <c r="B55" s="4">
        <v>1037</v>
      </c>
      <c r="C55" s="4">
        <v>20240122</v>
      </c>
      <c r="D55" s="4">
        <v>700</v>
      </c>
    </row>
    <row r="56" spans="1:4">
      <c r="A56" s="4">
        <v>90076</v>
      </c>
      <c r="B56" s="4">
        <v>1037</v>
      </c>
      <c r="C56" s="4">
        <v>20240131</v>
      </c>
      <c r="D56" s="4">
        <v>708</v>
      </c>
    </row>
    <row r="57" spans="1:4">
      <c r="A57" s="4">
        <v>90010</v>
      </c>
      <c r="B57" s="4">
        <v>1041</v>
      </c>
      <c r="C57" s="4">
        <v>20240107</v>
      </c>
      <c r="D57" s="4">
        <v>754</v>
      </c>
    </row>
    <row r="58" spans="1:4">
      <c r="A58" s="4">
        <v>90012</v>
      </c>
      <c r="B58" s="4">
        <v>1041</v>
      </c>
      <c r="C58" s="4">
        <v>20240121</v>
      </c>
      <c r="D58" s="4">
        <v>779</v>
      </c>
    </row>
    <row r="59" spans="1:4">
      <c r="A59" s="4">
        <v>90014</v>
      </c>
      <c r="B59" s="4">
        <v>1041</v>
      </c>
      <c r="C59" s="4">
        <v>20240122</v>
      </c>
      <c r="D59" s="4">
        <v>762</v>
      </c>
    </row>
    <row r="60" spans="1:4">
      <c r="A60" s="4">
        <v>90013</v>
      </c>
      <c r="B60" s="4">
        <v>1041</v>
      </c>
      <c r="C60" s="4">
        <v>20240124</v>
      </c>
      <c r="D60" s="4">
        <v>753</v>
      </c>
    </row>
    <row r="61" spans="1:4">
      <c r="A61" s="4">
        <v>90011</v>
      </c>
      <c r="B61" s="4">
        <v>1041</v>
      </c>
      <c r="C61" s="4">
        <v>20240129</v>
      </c>
      <c r="D61" s="4">
        <v>773</v>
      </c>
    </row>
    <row r="62" spans="1:4">
      <c r="A62" s="4">
        <v>90008</v>
      </c>
      <c r="B62" s="4">
        <v>1045</v>
      </c>
      <c r="C62" s="4">
        <v>20240103</v>
      </c>
      <c r="D62" s="4">
        <v>768</v>
      </c>
    </row>
    <row r="63" spans="1:4">
      <c r="A63" s="4">
        <v>90009</v>
      </c>
      <c r="B63" s="4">
        <v>1045</v>
      </c>
      <c r="C63" s="4">
        <v>20240107</v>
      </c>
      <c r="D63" s="4">
        <v>768</v>
      </c>
    </row>
    <row r="64" spans="1:4">
      <c r="A64" s="4">
        <v>90006</v>
      </c>
      <c r="B64" s="4">
        <v>1045</v>
      </c>
      <c r="C64" s="4">
        <v>20240115</v>
      </c>
      <c r="D64" s="4">
        <v>774</v>
      </c>
    </row>
    <row r="65" spans="1:4">
      <c r="A65" s="4">
        <v>90007</v>
      </c>
      <c r="B65" s="4">
        <v>1045</v>
      </c>
      <c r="C65" s="4">
        <v>20240122</v>
      </c>
      <c r="D65" s="4">
        <v>756</v>
      </c>
    </row>
    <row r="66" spans="1:4">
      <c r="A66" s="4">
        <v>90005</v>
      </c>
      <c r="B66" s="4">
        <v>1045</v>
      </c>
      <c r="C66" s="4">
        <v>20240129</v>
      </c>
      <c r="D66" s="4">
        <v>764</v>
      </c>
    </row>
    <row r="67" spans="1:4">
      <c r="A67" s="4">
        <v>90081</v>
      </c>
      <c r="B67" s="4">
        <v>1046</v>
      </c>
      <c r="C67" s="4">
        <v>20240110</v>
      </c>
      <c r="D67" s="4">
        <v>685</v>
      </c>
    </row>
    <row r="68" spans="1:4">
      <c r="A68" s="4">
        <v>90080</v>
      </c>
      <c r="B68" s="4">
        <v>1046</v>
      </c>
      <c r="C68" s="4">
        <v>20240121</v>
      </c>
      <c r="D68" s="4">
        <v>686</v>
      </c>
    </row>
    <row r="69" spans="1:4">
      <c r="A69" s="4">
        <v>90082</v>
      </c>
      <c r="B69" s="4">
        <v>1046</v>
      </c>
      <c r="C69" s="4">
        <v>20240122</v>
      </c>
      <c r="D69" s="4">
        <v>694</v>
      </c>
    </row>
    <row r="70" spans="1:4">
      <c r="A70" s="4">
        <v>90083</v>
      </c>
      <c r="B70" s="4">
        <v>1046</v>
      </c>
      <c r="C70" s="4">
        <v>20240124</v>
      </c>
      <c r="D70" s="4">
        <v>693</v>
      </c>
    </row>
    <row r="71" spans="1:4">
      <c r="A71" s="4">
        <v>90079</v>
      </c>
      <c r="B71" s="4">
        <v>1046</v>
      </c>
      <c r="C71" s="4">
        <v>20240129</v>
      </c>
      <c r="D71" s="4">
        <v>685</v>
      </c>
    </row>
    <row r="72" spans="1:4">
      <c r="A72" s="4">
        <v>90021</v>
      </c>
      <c r="B72" s="4">
        <v>1051</v>
      </c>
      <c r="C72" s="4">
        <v>20240103</v>
      </c>
      <c r="D72" s="4">
        <v>617</v>
      </c>
    </row>
    <row r="73" spans="1:4">
      <c r="A73" s="4">
        <v>90023</v>
      </c>
      <c r="B73" s="4">
        <v>1051</v>
      </c>
      <c r="C73" s="4">
        <v>20240108</v>
      </c>
      <c r="D73" s="4">
        <v>604</v>
      </c>
    </row>
    <row r="74" spans="1:4">
      <c r="A74" s="4">
        <v>90020</v>
      </c>
      <c r="B74" s="4">
        <v>1051</v>
      </c>
      <c r="C74" s="4">
        <v>20240110</v>
      </c>
      <c r="D74" s="4">
        <v>630</v>
      </c>
    </row>
    <row r="75" spans="1:4">
      <c r="A75" s="4">
        <v>90019</v>
      </c>
      <c r="B75" s="4">
        <v>1051</v>
      </c>
      <c r="C75" s="4">
        <v>20240121</v>
      </c>
      <c r="D75" s="4">
        <v>620</v>
      </c>
    </row>
    <row r="76" spans="1:4">
      <c r="A76" s="4">
        <v>90022</v>
      </c>
      <c r="B76" s="4">
        <v>1051</v>
      </c>
      <c r="C76" s="4">
        <v>20240129</v>
      </c>
      <c r="D76" s="4">
        <v>608</v>
      </c>
    </row>
    <row r="77" spans="1:4">
      <c r="A77" s="4">
        <v>90067</v>
      </c>
      <c r="B77" s="4">
        <v>1055</v>
      </c>
      <c r="C77" s="4">
        <v>20240101</v>
      </c>
      <c r="D77" s="4">
        <v>627</v>
      </c>
    </row>
    <row r="78" spans="1:4">
      <c r="A78" s="4">
        <v>90066</v>
      </c>
      <c r="B78" s="4">
        <v>1055</v>
      </c>
      <c r="C78" s="4">
        <v>20240114</v>
      </c>
      <c r="D78" s="4">
        <v>623</v>
      </c>
    </row>
    <row r="79" spans="1:4">
      <c r="A79" s="4">
        <v>90065</v>
      </c>
      <c r="B79" s="4">
        <v>1055</v>
      </c>
      <c r="C79" s="4">
        <v>20240122</v>
      </c>
      <c r="D79" s="4">
        <v>617</v>
      </c>
    </row>
    <row r="80" spans="1:4">
      <c r="A80" s="4">
        <v>90068</v>
      </c>
      <c r="B80" s="4">
        <v>1055</v>
      </c>
      <c r="C80" s="4">
        <v>20240128</v>
      </c>
      <c r="D80" s="4">
        <v>636</v>
      </c>
    </row>
    <row r="81" spans="1:4">
      <c r="A81" s="4">
        <v>90002</v>
      </c>
      <c r="B81" s="4">
        <v>1060</v>
      </c>
      <c r="C81" s="4">
        <v>20240103</v>
      </c>
      <c r="D81" s="4">
        <v>746</v>
      </c>
    </row>
    <row r="82" spans="1:4">
      <c r="A82" s="4">
        <v>90004</v>
      </c>
      <c r="B82" s="4">
        <v>1060</v>
      </c>
      <c r="C82" s="4">
        <v>20240110</v>
      </c>
      <c r="D82" s="4">
        <v>739</v>
      </c>
    </row>
    <row r="83" spans="1:4">
      <c r="A83" s="4">
        <v>90001</v>
      </c>
      <c r="B83" s="4">
        <v>1060</v>
      </c>
      <c r="C83" s="4">
        <v>20240122</v>
      </c>
      <c r="D83" s="4">
        <v>736</v>
      </c>
    </row>
    <row r="84" spans="1:4">
      <c r="A84" s="4">
        <v>90003</v>
      </c>
      <c r="B84" s="4">
        <v>1060</v>
      </c>
      <c r="C84" s="4">
        <v>20240129</v>
      </c>
      <c r="D84" s="4">
        <v>747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1"/>
  <sheetViews>
    <sheetView zoomScaleNormal="100" workbookViewId="0">
      <pane ySplit="1" topLeftCell="A2" activePane="bottomLeft" state="frozen"/>
      <selection activeCell="A55" sqref="A55"/>
      <selection pane="bottomLeft" activeCell="B1" sqref="B1"/>
    </sheetView>
  </sheetViews>
  <sheetFormatPr defaultColWidth="8.68359375" defaultRowHeight="14.4"/>
  <cols>
    <col min="1" max="1" width="14" customWidth="1"/>
    <col min="2" max="2" width="15" customWidth="1"/>
    <col min="3" max="3" width="14" customWidth="1"/>
    <col min="4" max="4" width="29" customWidth="1"/>
    <col min="5" max="5" width="14" customWidth="1"/>
  </cols>
  <sheetData>
    <row r="1" spans="1:5">
      <c r="A1" s="3" t="s">
        <v>115</v>
      </c>
      <c r="B1" s="3" t="s">
        <v>123</v>
      </c>
      <c r="C1" s="3" t="s">
        <v>127</v>
      </c>
      <c r="D1" s="3" t="s">
        <v>131</v>
      </c>
      <c r="E1" s="3" t="s">
        <v>135</v>
      </c>
    </row>
    <row r="2" spans="1:5">
      <c r="A2" s="4">
        <v>90035</v>
      </c>
      <c r="B2" s="4" t="s">
        <v>639</v>
      </c>
      <c r="C2" s="4">
        <v>35</v>
      </c>
      <c r="D2" s="4">
        <v>143.35</v>
      </c>
      <c r="E2" s="4" t="s">
        <v>640</v>
      </c>
    </row>
    <row r="3" spans="1:5">
      <c r="A3" s="4">
        <v>90035</v>
      </c>
      <c r="B3" s="4" t="s">
        <v>126</v>
      </c>
      <c r="C3" s="4">
        <v>30</v>
      </c>
      <c r="D3" s="4">
        <v>94.32</v>
      </c>
      <c r="E3" s="4" t="s">
        <v>640</v>
      </c>
    </row>
    <row r="4" spans="1:5">
      <c r="A4" s="4">
        <v>90035</v>
      </c>
      <c r="B4" s="4" t="s">
        <v>641</v>
      </c>
      <c r="C4" s="4">
        <v>15</v>
      </c>
      <c r="D4" s="4">
        <v>65.95</v>
      </c>
      <c r="E4" s="4" t="s">
        <v>640</v>
      </c>
    </row>
    <row r="5" spans="1:5">
      <c r="A5" s="4">
        <v>90035</v>
      </c>
      <c r="B5" s="4" t="s">
        <v>642</v>
      </c>
      <c r="C5" s="4">
        <v>10</v>
      </c>
      <c r="D5" s="4">
        <v>40.119999999999997</v>
      </c>
      <c r="E5" s="4" t="s">
        <v>640</v>
      </c>
    </row>
    <row r="6" spans="1:5">
      <c r="A6" s="4">
        <v>90035</v>
      </c>
      <c r="B6" s="4" t="s">
        <v>643</v>
      </c>
      <c r="C6" s="4">
        <v>10</v>
      </c>
      <c r="D6" s="4">
        <v>28.52</v>
      </c>
      <c r="E6" s="4" t="s">
        <v>137</v>
      </c>
    </row>
    <row r="7" spans="1:5">
      <c r="A7" s="4">
        <v>90063</v>
      </c>
      <c r="B7" s="4" t="s">
        <v>639</v>
      </c>
      <c r="C7" s="4">
        <v>35</v>
      </c>
      <c r="D7" s="4">
        <v>161.71</v>
      </c>
      <c r="E7" s="4" t="s">
        <v>640</v>
      </c>
    </row>
    <row r="8" spans="1:5">
      <c r="A8" s="4">
        <v>90063</v>
      </c>
      <c r="B8" s="4" t="s">
        <v>126</v>
      </c>
      <c r="C8" s="4">
        <v>30</v>
      </c>
      <c r="D8" s="4">
        <v>100.79</v>
      </c>
      <c r="E8" s="4" t="s">
        <v>644</v>
      </c>
    </row>
    <row r="9" spans="1:5">
      <c r="A9" s="4">
        <v>90063</v>
      </c>
      <c r="B9" s="4" t="s">
        <v>641</v>
      </c>
      <c r="C9" s="4">
        <v>15</v>
      </c>
      <c r="D9" s="4">
        <v>78.180000000000007</v>
      </c>
      <c r="E9" s="4" t="s">
        <v>640</v>
      </c>
    </row>
    <row r="10" spans="1:5">
      <c r="A10" s="4">
        <v>90063</v>
      </c>
      <c r="B10" s="4" t="s">
        <v>642</v>
      </c>
      <c r="C10" s="4">
        <v>10</v>
      </c>
      <c r="D10" s="4">
        <v>54.63</v>
      </c>
      <c r="E10" s="4" t="s">
        <v>640</v>
      </c>
    </row>
    <row r="11" spans="1:5">
      <c r="A11" s="4">
        <v>90063</v>
      </c>
      <c r="B11" s="4" t="s">
        <v>643</v>
      </c>
      <c r="C11" s="4">
        <v>10</v>
      </c>
      <c r="D11" s="4">
        <v>46.74</v>
      </c>
      <c r="E11" s="4" t="s">
        <v>640</v>
      </c>
    </row>
    <row r="12" spans="1:5">
      <c r="A12" s="4">
        <v>90054</v>
      </c>
      <c r="B12" s="4" t="s">
        <v>639</v>
      </c>
      <c r="C12" s="4">
        <v>35</v>
      </c>
      <c r="D12" s="4">
        <v>93.93</v>
      </c>
      <c r="E12" s="4" t="s">
        <v>644</v>
      </c>
    </row>
    <row r="13" spans="1:5">
      <c r="A13" s="4">
        <v>90054</v>
      </c>
      <c r="B13" s="4" t="s">
        <v>126</v>
      </c>
      <c r="C13" s="4">
        <v>30</v>
      </c>
      <c r="D13" s="4">
        <v>91.47</v>
      </c>
      <c r="E13" s="4" t="s">
        <v>137</v>
      </c>
    </row>
    <row r="14" spans="1:5">
      <c r="A14" s="4">
        <v>90054</v>
      </c>
      <c r="B14" s="4" t="s">
        <v>641</v>
      </c>
      <c r="C14" s="4">
        <v>15</v>
      </c>
      <c r="D14" s="4">
        <v>40.67</v>
      </c>
      <c r="E14" s="4" t="s">
        <v>137</v>
      </c>
    </row>
    <row r="15" spans="1:5">
      <c r="A15" s="4">
        <v>90054</v>
      </c>
      <c r="B15" s="4" t="s">
        <v>642</v>
      </c>
      <c r="C15" s="4">
        <v>10</v>
      </c>
      <c r="D15" s="4">
        <v>35.909999999999997</v>
      </c>
      <c r="E15" s="4" t="s">
        <v>640</v>
      </c>
    </row>
    <row r="16" spans="1:5">
      <c r="A16" s="4">
        <v>90054</v>
      </c>
      <c r="B16" s="4" t="s">
        <v>643</v>
      </c>
      <c r="C16" s="4">
        <v>10</v>
      </c>
      <c r="D16" s="4">
        <v>34.15</v>
      </c>
      <c r="E16" s="4" t="s">
        <v>640</v>
      </c>
    </row>
    <row r="17" spans="1:5">
      <c r="A17" s="4">
        <v>90048</v>
      </c>
      <c r="B17" s="4" t="s">
        <v>639</v>
      </c>
      <c r="C17" s="4">
        <v>35</v>
      </c>
      <c r="D17" s="4">
        <v>124.97</v>
      </c>
      <c r="E17" s="4" t="s">
        <v>640</v>
      </c>
    </row>
    <row r="18" spans="1:5">
      <c r="A18" s="4">
        <v>90048</v>
      </c>
      <c r="B18" s="4" t="s">
        <v>126</v>
      </c>
      <c r="C18" s="4">
        <v>30</v>
      </c>
      <c r="D18" s="4">
        <v>105.85</v>
      </c>
      <c r="E18" s="4" t="s">
        <v>640</v>
      </c>
    </row>
    <row r="19" spans="1:5">
      <c r="A19" s="4">
        <v>90048</v>
      </c>
      <c r="B19" s="4" t="s">
        <v>641</v>
      </c>
      <c r="C19" s="4">
        <v>15</v>
      </c>
      <c r="D19" s="4">
        <v>55.26</v>
      </c>
      <c r="E19" s="4" t="s">
        <v>640</v>
      </c>
    </row>
    <row r="20" spans="1:5">
      <c r="A20" s="4">
        <v>90048</v>
      </c>
      <c r="B20" s="4" t="s">
        <v>642</v>
      </c>
      <c r="C20" s="4">
        <v>10</v>
      </c>
      <c r="D20" s="4">
        <v>34.97</v>
      </c>
      <c r="E20" s="4" t="s">
        <v>640</v>
      </c>
    </row>
    <row r="21" spans="1:5">
      <c r="A21" s="4">
        <v>90048</v>
      </c>
      <c r="B21" s="4" t="s">
        <v>643</v>
      </c>
      <c r="C21" s="4">
        <v>10</v>
      </c>
      <c r="D21" s="4">
        <v>25.2</v>
      </c>
      <c r="E21" s="4" t="s">
        <v>137</v>
      </c>
    </row>
    <row r="22" spans="1:5">
      <c r="A22" s="4">
        <v>90066</v>
      </c>
      <c r="B22" s="4" t="s">
        <v>639</v>
      </c>
      <c r="C22" s="4">
        <v>35</v>
      </c>
      <c r="D22" s="4">
        <v>124.84</v>
      </c>
      <c r="E22" s="4" t="s">
        <v>640</v>
      </c>
    </row>
    <row r="23" spans="1:5">
      <c r="A23" s="4">
        <v>90066</v>
      </c>
      <c r="B23" s="4" t="s">
        <v>126</v>
      </c>
      <c r="C23" s="4">
        <v>30</v>
      </c>
      <c r="D23" s="4">
        <v>124.8</v>
      </c>
      <c r="E23" s="4" t="s">
        <v>640</v>
      </c>
    </row>
    <row r="24" spans="1:5">
      <c r="A24" s="4">
        <v>90066</v>
      </c>
      <c r="B24" s="4" t="s">
        <v>641</v>
      </c>
      <c r="C24" s="4">
        <v>15</v>
      </c>
      <c r="D24" s="4">
        <v>50.88</v>
      </c>
      <c r="E24" s="4" t="s">
        <v>640</v>
      </c>
    </row>
    <row r="25" spans="1:5">
      <c r="A25" s="4">
        <v>90066</v>
      </c>
      <c r="B25" s="4" t="s">
        <v>642</v>
      </c>
      <c r="C25" s="4">
        <v>10</v>
      </c>
      <c r="D25" s="4">
        <v>38.049999999999997</v>
      </c>
      <c r="E25" s="4" t="s">
        <v>640</v>
      </c>
    </row>
    <row r="26" spans="1:5">
      <c r="A26" s="4">
        <v>90066</v>
      </c>
      <c r="B26" s="4" t="s">
        <v>643</v>
      </c>
      <c r="C26" s="4">
        <v>10</v>
      </c>
      <c r="D26" s="4">
        <v>36.67</v>
      </c>
      <c r="E26" s="4" t="s">
        <v>640</v>
      </c>
    </row>
    <row r="27" spans="1:5">
      <c r="A27" s="4">
        <v>90011</v>
      </c>
      <c r="B27" s="4" t="s">
        <v>639</v>
      </c>
      <c r="C27" s="4">
        <v>35</v>
      </c>
      <c r="D27" s="4">
        <v>184.23</v>
      </c>
      <c r="E27" s="4" t="s">
        <v>640</v>
      </c>
    </row>
    <row r="28" spans="1:5">
      <c r="A28" s="4">
        <v>90011</v>
      </c>
      <c r="B28" s="4" t="s">
        <v>126</v>
      </c>
      <c r="C28" s="4">
        <v>30</v>
      </c>
      <c r="D28" s="4">
        <v>101.6</v>
      </c>
      <c r="E28" s="4" t="s">
        <v>137</v>
      </c>
    </row>
    <row r="29" spans="1:5">
      <c r="A29" s="4">
        <v>90011</v>
      </c>
      <c r="B29" s="4" t="s">
        <v>641</v>
      </c>
      <c r="C29" s="4">
        <v>15</v>
      </c>
      <c r="D29" s="4">
        <v>60.97</v>
      </c>
      <c r="E29" s="4" t="s">
        <v>644</v>
      </c>
    </row>
    <row r="30" spans="1:5">
      <c r="A30" s="4">
        <v>90011</v>
      </c>
      <c r="B30" s="4" t="s">
        <v>642</v>
      </c>
      <c r="C30" s="4">
        <v>10</v>
      </c>
      <c r="D30" s="4">
        <v>53.58</v>
      </c>
      <c r="E30" s="4" t="s">
        <v>640</v>
      </c>
    </row>
    <row r="31" spans="1:5">
      <c r="A31" s="4">
        <v>90011</v>
      </c>
      <c r="B31" s="4" t="s">
        <v>643</v>
      </c>
      <c r="C31" s="4">
        <v>10</v>
      </c>
      <c r="D31" s="4">
        <v>49.67</v>
      </c>
      <c r="E31" s="4" t="s">
        <v>640</v>
      </c>
    </row>
    <row r="32" spans="1:5">
      <c r="A32" s="4">
        <v>90003</v>
      </c>
      <c r="B32" s="4" t="s">
        <v>639</v>
      </c>
      <c r="C32" s="4">
        <v>35</v>
      </c>
      <c r="D32" s="4">
        <v>125.52</v>
      </c>
      <c r="E32" s="4" t="s">
        <v>137</v>
      </c>
    </row>
    <row r="33" spans="1:5">
      <c r="A33" s="4">
        <v>90003</v>
      </c>
      <c r="B33" s="4" t="s">
        <v>126</v>
      </c>
      <c r="C33" s="4">
        <v>30</v>
      </c>
      <c r="D33" s="4">
        <v>105.76</v>
      </c>
      <c r="E33" s="4" t="s">
        <v>644</v>
      </c>
    </row>
    <row r="34" spans="1:5">
      <c r="A34" s="4">
        <v>90003</v>
      </c>
      <c r="B34" s="4" t="s">
        <v>641</v>
      </c>
      <c r="C34" s="4">
        <v>15</v>
      </c>
      <c r="D34" s="4">
        <v>48.21</v>
      </c>
      <c r="E34" s="4" t="s">
        <v>644</v>
      </c>
    </row>
    <row r="35" spans="1:5">
      <c r="A35" s="4">
        <v>90003</v>
      </c>
      <c r="B35" s="4" t="s">
        <v>642</v>
      </c>
      <c r="C35" s="4">
        <v>10</v>
      </c>
      <c r="D35" s="4">
        <v>36.409999999999997</v>
      </c>
      <c r="E35" s="4" t="s">
        <v>137</v>
      </c>
    </row>
    <row r="36" spans="1:5">
      <c r="A36" s="4">
        <v>90003</v>
      </c>
      <c r="B36" s="4" t="s">
        <v>643</v>
      </c>
      <c r="C36" s="4">
        <v>10</v>
      </c>
      <c r="D36" s="4">
        <v>39.700000000000003</v>
      </c>
      <c r="E36" s="4" t="s">
        <v>644</v>
      </c>
    </row>
    <row r="37" spans="1:5">
      <c r="A37" s="4">
        <v>90072</v>
      </c>
      <c r="B37" s="4" t="s">
        <v>639</v>
      </c>
      <c r="C37" s="4">
        <v>35</v>
      </c>
      <c r="D37" s="4">
        <v>144.63</v>
      </c>
      <c r="E37" s="4" t="s">
        <v>640</v>
      </c>
    </row>
    <row r="38" spans="1:5">
      <c r="A38" s="4">
        <v>90072</v>
      </c>
      <c r="B38" s="4" t="s">
        <v>126</v>
      </c>
      <c r="C38" s="4">
        <v>30</v>
      </c>
      <c r="D38" s="4">
        <v>107.56</v>
      </c>
      <c r="E38" s="4" t="s">
        <v>137</v>
      </c>
    </row>
    <row r="39" spans="1:5">
      <c r="A39" s="4">
        <v>90072</v>
      </c>
      <c r="B39" s="4" t="s">
        <v>641</v>
      </c>
      <c r="C39" s="4">
        <v>15</v>
      </c>
      <c r="D39" s="4">
        <v>80.03</v>
      </c>
      <c r="E39" s="4" t="s">
        <v>640</v>
      </c>
    </row>
    <row r="40" spans="1:5">
      <c r="A40" s="4">
        <v>90072</v>
      </c>
      <c r="B40" s="4" t="s">
        <v>642</v>
      </c>
      <c r="C40" s="4">
        <v>10</v>
      </c>
      <c r="D40" s="4">
        <v>49.77</v>
      </c>
      <c r="E40" s="4" t="s">
        <v>640</v>
      </c>
    </row>
    <row r="41" spans="1:5">
      <c r="A41" s="4">
        <v>90072</v>
      </c>
      <c r="B41" s="4" t="s">
        <v>643</v>
      </c>
      <c r="C41" s="4">
        <v>10</v>
      </c>
      <c r="D41" s="4">
        <v>32.15</v>
      </c>
      <c r="E41" s="4" t="s">
        <v>644</v>
      </c>
    </row>
    <row r="42" spans="1:5">
      <c r="A42" s="4">
        <v>90033</v>
      </c>
      <c r="B42" s="4" t="s">
        <v>639</v>
      </c>
      <c r="C42" s="4">
        <v>35</v>
      </c>
      <c r="D42" s="4">
        <v>113.26</v>
      </c>
      <c r="E42" s="4" t="s">
        <v>640</v>
      </c>
    </row>
    <row r="43" spans="1:5">
      <c r="A43" s="4">
        <v>90033</v>
      </c>
      <c r="B43" s="4" t="s">
        <v>126</v>
      </c>
      <c r="C43" s="4">
        <v>30</v>
      </c>
      <c r="D43" s="4">
        <v>99.51</v>
      </c>
      <c r="E43" s="4" t="s">
        <v>640</v>
      </c>
    </row>
    <row r="44" spans="1:5">
      <c r="A44" s="4">
        <v>90033</v>
      </c>
      <c r="B44" s="4" t="s">
        <v>641</v>
      </c>
      <c r="C44" s="4">
        <v>15</v>
      </c>
      <c r="D44" s="4">
        <v>62.35</v>
      </c>
      <c r="E44" s="4" t="s">
        <v>640</v>
      </c>
    </row>
    <row r="45" spans="1:5">
      <c r="A45" s="4">
        <v>90033</v>
      </c>
      <c r="B45" s="4" t="s">
        <v>642</v>
      </c>
      <c r="C45" s="4">
        <v>10</v>
      </c>
      <c r="D45" s="4">
        <v>31.58</v>
      </c>
      <c r="E45" s="4" t="s">
        <v>640</v>
      </c>
    </row>
    <row r="46" spans="1:5">
      <c r="A46" s="4">
        <v>90033</v>
      </c>
      <c r="B46" s="4" t="s">
        <v>643</v>
      </c>
      <c r="C46" s="4">
        <v>10</v>
      </c>
      <c r="D46" s="4">
        <v>29.64</v>
      </c>
      <c r="E46" s="4" t="s">
        <v>640</v>
      </c>
    </row>
    <row r="47" spans="1:5">
      <c r="A47" s="4">
        <v>90050</v>
      </c>
      <c r="B47" s="4" t="s">
        <v>639</v>
      </c>
      <c r="C47" s="4">
        <v>35</v>
      </c>
      <c r="D47" s="4">
        <v>156.51</v>
      </c>
      <c r="E47" s="4" t="s">
        <v>640</v>
      </c>
    </row>
    <row r="48" spans="1:5">
      <c r="A48" s="4">
        <v>90050</v>
      </c>
      <c r="B48" s="4" t="s">
        <v>126</v>
      </c>
      <c r="C48" s="4">
        <v>30</v>
      </c>
      <c r="D48" s="4">
        <v>102.75</v>
      </c>
      <c r="E48" s="4" t="s">
        <v>640</v>
      </c>
    </row>
    <row r="49" spans="1:5">
      <c r="A49" s="4">
        <v>90050</v>
      </c>
      <c r="B49" s="4" t="s">
        <v>641</v>
      </c>
      <c r="C49" s="4">
        <v>15</v>
      </c>
      <c r="D49" s="4">
        <v>53.7</v>
      </c>
      <c r="E49" s="4" t="s">
        <v>640</v>
      </c>
    </row>
    <row r="50" spans="1:5">
      <c r="A50" s="4">
        <v>90050</v>
      </c>
      <c r="B50" s="4" t="s">
        <v>642</v>
      </c>
      <c r="C50" s="4">
        <v>10</v>
      </c>
      <c r="D50" s="4">
        <v>36.07</v>
      </c>
      <c r="E50" s="4" t="s">
        <v>640</v>
      </c>
    </row>
    <row r="51" spans="1:5">
      <c r="A51" s="4">
        <v>90050</v>
      </c>
      <c r="B51" s="4" t="s">
        <v>643</v>
      </c>
      <c r="C51" s="4">
        <v>10</v>
      </c>
      <c r="D51" s="4">
        <v>38.799999999999997</v>
      </c>
      <c r="E51" s="4" t="s">
        <v>640</v>
      </c>
    </row>
    <row r="52" spans="1:5">
      <c r="A52" s="4">
        <v>90043</v>
      </c>
      <c r="B52" s="4" t="s">
        <v>639</v>
      </c>
      <c r="C52" s="4">
        <v>35</v>
      </c>
      <c r="D52" s="4">
        <v>117.48</v>
      </c>
      <c r="E52" s="4" t="s">
        <v>640</v>
      </c>
    </row>
    <row r="53" spans="1:5">
      <c r="A53" s="4">
        <v>90043</v>
      </c>
      <c r="B53" s="4" t="s">
        <v>126</v>
      </c>
      <c r="C53" s="4">
        <v>30</v>
      </c>
      <c r="D53" s="4">
        <v>91.45</v>
      </c>
      <c r="E53" s="4" t="s">
        <v>640</v>
      </c>
    </row>
    <row r="54" spans="1:5">
      <c r="A54" s="4">
        <v>90043</v>
      </c>
      <c r="B54" s="4" t="s">
        <v>641</v>
      </c>
      <c r="C54" s="4">
        <v>15</v>
      </c>
      <c r="D54" s="4">
        <v>48.77</v>
      </c>
      <c r="E54" s="4" t="s">
        <v>640</v>
      </c>
    </row>
    <row r="55" spans="1:5">
      <c r="A55" s="4">
        <v>90043</v>
      </c>
      <c r="B55" s="4" t="s">
        <v>642</v>
      </c>
      <c r="C55" s="4">
        <v>10</v>
      </c>
      <c r="D55" s="4">
        <v>23.61</v>
      </c>
      <c r="E55" s="4" t="s">
        <v>137</v>
      </c>
    </row>
    <row r="56" spans="1:5">
      <c r="A56" s="4">
        <v>90043</v>
      </c>
      <c r="B56" s="4" t="s">
        <v>643</v>
      </c>
      <c r="C56" s="4">
        <v>10</v>
      </c>
      <c r="D56" s="4">
        <v>22.42</v>
      </c>
      <c r="E56" s="4" t="s">
        <v>644</v>
      </c>
    </row>
    <row r="57" spans="1:5">
      <c r="A57" s="4">
        <v>90012</v>
      </c>
      <c r="B57" s="4" t="s">
        <v>639</v>
      </c>
      <c r="C57" s="4">
        <v>35</v>
      </c>
      <c r="D57" s="4">
        <v>145.41999999999999</v>
      </c>
      <c r="E57" s="4" t="s">
        <v>137</v>
      </c>
    </row>
    <row r="58" spans="1:5">
      <c r="A58" s="4">
        <v>90012</v>
      </c>
      <c r="B58" s="4" t="s">
        <v>126</v>
      </c>
      <c r="C58" s="4">
        <v>30</v>
      </c>
      <c r="D58" s="4">
        <v>119.98</v>
      </c>
      <c r="E58" s="4" t="s">
        <v>137</v>
      </c>
    </row>
    <row r="59" spans="1:5">
      <c r="A59" s="4">
        <v>90012</v>
      </c>
      <c r="B59" s="4" t="s">
        <v>641</v>
      </c>
      <c r="C59" s="4">
        <v>15</v>
      </c>
      <c r="D59" s="4">
        <v>83.54</v>
      </c>
      <c r="E59" s="4" t="s">
        <v>640</v>
      </c>
    </row>
    <row r="60" spans="1:5">
      <c r="A60" s="4">
        <v>90012</v>
      </c>
      <c r="B60" s="4" t="s">
        <v>642</v>
      </c>
      <c r="C60" s="4">
        <v>10</v>
      </c>
      <c r="D60" s="4">
        <v>53.79</v>
      </c>
      <c r="E60" s="4" t="s">
        <v>640</v>
      </c>
    </row>
    <row r="61" spans="1:5">
      <c r="A61" s="4">
        <v>90012</v>
      </c>
      <c r="B61" s="4" t="s">
        <v>643</v>
      </c>
      <c r="C61" s="4">
        <v>10</v>
      </c>
      <c r="D61" s="4">
        <v>53.37</v>
      </c>
      <c r="E61" s="4" t="s">
        <v>640</v>
      </c>
    </row>
    <row r="62" spans="1:5">
      <c r="A62" s="4">
        <v>90021</v>
      </c>
      <c r="B62" s="4" t="s">
        <v>639</v>
      </c>
      <c r="C62" s="4">
        <v>35</v>
      </c>
      <c r="D62" s="4">
        <v>110.22</v>
      </c>
      <c r="E62" s="4" t="s">
        <v>640</v>
      </c>
    </row>
    <row r="63" spans="1:5">
      <c r="A63" s="4">
        <v>90021</v>
      </c>
      <c r="B63" s="4" t="s">
        <v>126</v>
      </c>
      <c r="C63" s="4">
        <v>30</v>
      </c>
      <c r="D63" s="4">
        <v>93.95</v>
      </c>
      <c r="E63" s="4" t="s">
        <v>640</v>
      </c>
    </row>
    <row r="64" spans="1:5">
      <c r="A64" s="4">
        <v>90021</v>
      </c>
      <c r="B64" s="4" t="s">
        <v>641</v>
      </c>
      <c r="C64" s="4">
        <v>15</v>
      </c>
      <c r="D64" s="4">
        <v>49.28</v>
      </c>
      <c r="E64" s="4" t="s">
        <v>640</v>
      </c>
    </row>
    <row r="65" spans="1:5">
      <c r="A65" s="4">
        <v>90021</v>
      </c>
      <c r="B65" s="4" t="s">
        <v>642</v>
      </c>
      <c r="C65" s="4">
        <v>10</v>
      </c>
      <c r="D65" s="4">
        <v>39.96</v>
      </c>
      <c r="E65" s="4" t="s">
        <v>640</v>
      </c>
    </row>
    <row r="66" spans="1:5">
      <c r="A66" s="4">
        <v>90021</v>
      </c>
      <c r="B66" s="4" t="s">
        <v>643</v>
      </c>
      <c r="C66" s="4">
        <v>10</v>
      </c>
      <c r="D66" s="4">
        <v>35.92</v>
      </c>
      <c r="E66" s="4" t="s">
        <v>640</v>
      </c>
    </row>
    <row r="67" spans="1:5">
      <c r="A67" s="4">
        <v>90049</v>
      </c>
      <c r="B67" s="4" t="s">
        <v>639</v>
      </c>
      <c r="C67" s="4">
        <v>35</v>
      </c>
      <c r="D67" s="4">
        <v>110.57</v>
      </c>
      <c r="E67" s="4" t="s">
        <v>137</v>
      </c>
    </row>
    <row r="68" spans="1:5">
      <c r="A68" s="4">
        <v>90049</v>
      </c>
      <c r="B68" s="4" t="s">
        <v>126</v>
      </c>
      <c r="C68" s="4">
        <v>30</v>
      </c>
      <c r="D68" s="4">
        <v>134.38999999999999</v>
      </c>
      <c r="E68" s="4" t="s">
        <v>640</v>
      </c>
    </row>
    <row r="69" spans="1:5">
      <c r="A69" s="4">
        <v>90049</v>
      </c>
      <c r="B69" s="4" t="s">
        <v>641</v>
      </c>
      <c r="C69" s="4">
        <v>15</v>
      </c>
      <c r="D69" s="4">
        <v>50.86</v>
      </c>
      <c r="E69" s="4" t="s">
        <v>640</v>
      </c>
    </row>
    <row r="70" spans="1:5">
      <c r="A70" s="4">
        <v>90049</v>
      </c>
      <c r="B70" s="4" t="s">
        <v>642</v>
      </c>
      <c r="C70" s="4">
        <v>10</v>
      </c>
      <c r="D70" s="4">
        <v>32.840000000000003</v>
      </c>
      <c r="E70" s="4" t="s">
        <v>640</v>
      </c>
    </row>
    <row r="71" spans="1:5">
      <c r="A71" s="4">
        <v>90049</v>
      </c>
      <c r="B71" s="4" t="s">
        <v>643</v>
      </c>
      <c r="C71" s="4">
        <v>10</v>
      </c>
      <c r="D71" s="4">
        <v>42.13</v>
      </c>
      <c r="E71" s="4" t="s">
        <v>640</v>
      </c>
    </row>
    <row r="72" spans="1:5">
      <c r="A72" s="4">
        <v>90006</v>
      </c>
      <c r="B72" s="4" t="s">
        <v>639</v>
      </c>
      <c r="C72" s="4">
        <v>35</v>
      </c>
      <c r="D72" s="4">
        <v>130.71</v>
      </c>
      <c r="E72" s="4" t="s">
        <v>644</v>
      </c>
    </row>
    <row r="73" spans="1:5">
      <c r="A73" s="4">
        <v>90006</v>
      </c>
      <c r="B73" s="4" t="s">
        <v>126</v>
      </c>
      <c r="C73" s="4">
        <v>30</v>
      </c>
      <c r="D73" s="4">
        <v>124.08</v>
      </c>
      <c r="E73" s="4" t="s">
        <v>644</v>
      </c>
    </row>
    <row r="74" spans="1:5">
      <c r="A74" s="4">
        <v>90006</v>
      </c>
      <c r="B74" s="4" t="s">
        <v>641</v>
      </c>
      <c r="C74" s="4">
        <v>15</v>
      </c>
      <c r="D74" s="4">
        <v>64.55</v>
      </c>
      <c r="E74" s="4" t="s">
        <v>640</v>
      </c>
    </row>
    <row r="75" spans="1:5">
      <c r="A75" s="4">
        <v>90006</v>
      </c>
      <c r="B75" s="4" t="s">
        <v>642</v>
      </c>
      <c r="C75" s="4">
        <v>10</v>
      </c>
      <c r="D75" s="4">
        <v>45.76</v>
      </c>
      <c r="E75" s="4" t="s">
        <v>640</v>
      </c>
    </row>
    <row r="76" spans="1:5">
      <c r="A76" s="4">
        <v>90006</v>
      </c>
      <c r="B76" s="4" t="s">
        <v>643</v>
      </c>
      <c r="C76" s="4">
        <v>10</v>
      </c>
      <c r="D76" s="4">
        <v>40.47</v>
      </c>
      <c r="E76" s="4" t="s">
        <v>137</v>
      </c>
    </row>
    <row r="77" spans="1:5">
      <c r="A77" s="4">
        <v>90074</v>
      </c>
      <c r="B77" s="4" t="s">
        <v>639</v>
      </c>
      <c r="C77" s="4">
        <v>35</v>
      </c>
      <c r="D77" s="4">
        <v>115.11</v>
      </c>
      <c r="E77" s="4" t="s">
        <v>137</v>
      </c>
    </row>
    <row r="78" spans="1:5">
      <c r="A78" s="4">
        <v>90074</v>
      </c>
      <c r="B78" s="4" t="s">
        <v>126</v>
      </c>
      <c r="C78" s="4">
        <v>30</v>
      </c>
      <c r="D78" s="4">
        <v>150.04</v>
      </c>
      <c r="E78" s="4" t="s">
        <v>640</v>
      </c>
    </row>
    <row r="79" spans="1:5">
      <c r="A79" s="4">
        <v>90074</v>
      </c>
      <c r="B79" s="4" t="s">
        <v>641</v>
      </c>
      <c r="C79" s="4">
        <v>15</v>
      </c>
      <c r="D79" s="4">
        <v>66.56</v>
      </c>
      <c r="E79" s="4" t="s">
        <v>640</v>
      </c>
    </row>
    <row r="80" spans="1:5">
      <c r="A80" s="4">
        <v>90074</v>
      </c>
      <c r="B80" s="4" t="s">
        <v>642</v>
      </c>
      <c r="C80" s="4">
        <v>10</v>
      </c>
      <c r="D80" s="4">
        <v>31.06</v>
      </c>
      <c r="E80" s="4" t="s">
        <v>644</v>
      </c>
    </row>
    <row r="81" spans="1:5">
      <c r="A81" s="4">
        <v>90074</v>
      </c>
      <c r="B81" s="4" t="s">
        <v>643</v>
      </c>
      <c r="C81" s="4">
        <v>10</v>
      </c>
      <c r="D81" s="4">
        <v>33.57</v>
      </c>
      <c r="E81" s="4" t="s">
        <v>644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6"/>
  <sheetViews>
    <sheetView zoomScaleNormal="100" workbookViewId="0">
      <pane ySplit="1" topLeftCell="A65" activePane="bottomLeft" state="frozen"/>
      <selection activeCell="A55" sqref="A55"/>
      <selection pane="bottomLeft" activeCell="A55" sqref="A55"/>
    </sheetView>
  </sheetViews>
  <sheetFormatPr defaultColWidth="8.68359375" defaultRowHeight="14.4"/>
  <cols>
    <col min="1" max="1" width="14" customWidth="1"/>
    <col min="2" max="2" width="15" customWidth="1"/>
    <col min="3" max="4" width="14" customWidth="1"/>
    <col min="5" max="5" width="16" customWidth="1"/>
  </cols>
  <sheetData>
    <row r="1" spans="1:5">
      <c r="A1" s="3" t="s">
        <v>139</v>
      </c>
      <c r="B1" s="3" t="s">
        <v>6</v>
      </c>
      <c r="C1" s="3" t="s">
        <v>34</v>
      </c>
      <c r="D1" s="3" t="s">
        <v>47</v>
      </c>
      <c r="E1" s="3" t="s">
        <v>144</v>
      </c>
    </row>
    <row r="2" spans="1:5">
      <c r="A2" s="4">
        <v>77001</v>
      </c>
      <c r="B2" s="4">
        <v>1041</v>
      </c>
      <c r="C2" s="4">
        <v>8</v>
      </c>
      <c r="D2" s="4">
        <v>20240107</v>
      </c>
      <c r="E2" s="4" t="s">
        <v>146</v>
      </c>
    </row>
    <row r="3" spans="1:5">
      <c r="A3" s="4">
        <v>77002</v>
      </c>
      <c r="B3" s="4">
        <v>1022</v>
      </c>
      <c r="C3" s="4">
        <v>16</v>
      </c>
      <c r="D3" s="4">
        <v>20240113</v>
      </c>
      <c r="E3" s="4" t="s">
        <v>645</v>
      </c>
    </row>
    <row r="4" spans="1:5">
      <c r="A4" s="4">
        <v>77003</v>
      </c>
      <c r="B4" s="4">
        <v>1009</v>
      </c>
      <c r="C4" s="4">
        <v>1</v>
      </c>
      <c r="D4" s="4">
        <v>20240311</v>
      </c>
      <c r="E4" s="4" t="s">
        <v>645</v>
      </c>
    </row>
    <row r="5" spans="1:5">
      <c r="A5" s="4">
        <v>77004</v>
      </c>
      <c r="B5" s="4">
        <v>1011</v>
      </c>
      <c r="C5" s="4">
        <v>14</v>
      </c>
      <c r="D5" s="4">
        <v>20240324</v>
      </c>
      <c r="E5" s="4" t="s">
        <v>645</v>
      </c>
    </row>
    <row r="6" spans="1:5">
      <c r="A6" s="4">
        <v>77005</v>
      </c>
      <c r="B6" s="4">
        <v>1057</v>
      </c>
      <c r="C6" s="4">
        <v>16</v>
      </c>
      <c r="D6" s="4">
        <v>20240302</v>
      </c>
      <c r="E6" s="4" t="s">
        <v>645</v>
      </c>
    </row>
    <row r="7" spans="1:5">
      <c r="A7" s="4">
        <v>77006</v>
      </c>
      <c r="B7" s="4">
        <v>1049</v>
      </c>
      <c r="C7" s="4">
        <v>10</v>
      </c>
      <c r="D7" s="4">
        <v>20240211</v>
      </c>
      <c r="E7" s="4" t="s">
        <v>146</v>
      </c>
    </row>
    <row r="8" spans="1:5">
      <c r="A8" s="4">
        <v>77007</v>
      </c>
      <c r="B8" s="4">
        <v>1004</v>
      </c>
      <c r="C8" s="4">
        <v>3</v>
      </c>
      <c r="D8" s="4">
        <v>20240324</v>
      </c>
      <c r="E8" s="4" t="s">
        <v>146</v>
      </c>
    </row>
    <row r="9" spans="1:5">
      <c r="A9" s="4">
        <v>77008</v>
      </c>
      <c r="B9" s="4">
        <v>1035</v>
      </c>
      <c r="C9" s="4">
        <v>2</v>
      </c>
      <c r="D9" s="4">
        <v>20240123</v>
      </c>
      <c r="E9" s="4" t="s">
        <v>146</v>
      </c>
    </row>
    <row r="10" spans="1:5">
      <c r="A10" s="4">
        <v>77009</v>
      </c>
      <c r="B10" s="4">
        <v>1054</v>
      </c>
      <c r="C10" s="4">
        <v>6</v>
      </c>
      <c r="D10" s="4">
        <v>20240105</v>
      </c>
      <c r="E10" s="4" t="s">
        <v>645</v>
      </c>
    </row>
    <row r="11" spans="1:5">
      <c r="A11" s="4">
        <v>77010</v>
      </c>
      <c r="B11" s="4">
        <v>1026</v>
      </c>
      <c r="C11" s="4">
        <v>16</v>
      </c>
      <c r="D11" s="4">
        <v>20240124</v>
      </c>
      <c r="E11" s="4" t="s">
        <v>645</v>
      </c>
    </row>
    <row r="12" spans="1:5">
      <c r="A12" s="4">
        <v>77011</v>
      </c>
      <c r="B12" s="4">
        <v>1056</v>
      </c>
      <c r="C12" s="4">
        <v>10</v>
      </c>
      <c r="D12" s="4">
        <v>20240105</v>
      </c>
      <c r="E12" s="4" t="s">
        <v>146</v>
      </c>
    </row>
    <row r="13" spans="1:5">
      <c r="A13" s="4">
        <v>77012</v>
      </c>
      <c r="B13" s="4">
        <v>1037</v>
      </c>
      <c r="C13" s="4">
        <v>20</v>
      </c>
      <c r="D13" s="4">
        <v>20240114</v>
      </c>
      <c r="E13" s="4" t="s">
        <v>645</v>
      </c>
    </row>
    <row r="14" spans="1:5">
      <c r="A14" s="4">
        <v>77013</v>
      </c>
      <c r="B14" s="4">
        <v>1022</v>
      </c>
      <c r="C14" s="4">
        <v>10</v>
      </c>
      <c r="D14" s="4">
        <v>20240228</v>
      </c>
      <c r="E14" s="4" t="s">
        <v>645</v>
      </c>
    </row>
    <row r="15" spans="1:5">
      <c r="A15" s="4">
        <v>77014</v>
      </c>
      <c r="B15" s="4">
        <v>1035</v>
      </c>
      <c r="C15" s="4">
        <v>17</v>
      </c>
      <c r="D15" s="4">
        <v>20240304</v>
      </c>
      <c r="E15" s="4" t="s">
        <v>645</v>
      </c>
    </row>
    <row r="16" spans="1:5">
      <c r="A16" s="4">
        <v>77015</v>
      </c>
      <c r="B16" s="4">
        <v>1009</v>
      </c>
      <c r="C16" s="4">
        <v>17</v>
      </c>
      <c r="D16" s="4">
        <v>20240229</v>
      </c>
      <c r="E16" s="4" t="s">
        <v>146</v>
      </c>
    </row>
    <row r="17" spans="1:5">
      <c r="A17" s="4">
        <v>77016</v>
      </c>
      <c r="B17" s="4">
        <v>1052</v>
      </c>
      <c r="C17" s="4">
        <v>4</v>
      </c>
      <c r="D17" s="4">
        <v>20240212</v>
      </c>
      <c r="E17" s="4" t="s">
        <v>146</v>
      </c>
    </row>
    <row r="18" spans="1:5">
      <c r="A18" s="4">
        <v>77017</v>
      </c>
      <c r="B18" s="4">
        <v>1030</v>
      </c>
      <c r="C18" s="4">
        <v>9</v>
      </c>
      <c r="D18" s="4">
        <v>20240401</v>
      </c>
      <c r="E18" s="4" t="s">
        <v>146</v>
      </c>
    </row>
    <row r="19" spans="1:5">
      <c r="A19" s="4">
        <v>77018</v>
      </c>
      <c r="B19" s="4">
        <v>1048</v>
      </c>
      <c r="C19" s="4">
        <v>11</v>
      </c>
      <c r="D19" s="4">
        <v>20240207</v>
      </c>
      <c r="E19" s="4" t="s">
        <v>146</v>
      </c>
    </row>
    <row r="20" spans="1:5">
      <c r="A20" s="4">
        <v>77019</v>
      </c>
      <c r="B20" s="4">
        <v>1049</v>
      </c>
      <c r="C20" s="4">
        <v>7</v>
      </c>
      <c r="D20" s="4">
        <v>20240123</v>
      </c>
      <c r="E20" s="4" t="s">
        <v>645</v>
      </c>
    </row>
    <row r="21" spans="1:5">
      <c r="A21" s="4">
        <v>77020</v>
      </c>
      <c r="B21" s="4">
        <v>1041</v>
      </c>
      <c r="C21" s="4">
        <v>13</v>
      </c>
      <c r="D21" s="4">
        <v>20240224</v>
      </c>
      <c r="E21" s="4" t="s">
        <v>146</v>
      </c>
    </row>
    <row r="22" spans="1:5">
      <c r="A22" s="4">
        <v>77021</v>
      </c>
      <c r="B22" s="4">
        <v>1006</v>
      </c>
      <c r="C22" s="4">
        <v>13</v>
      </c>
      <c r="D22" s="4">
        <v>20240326</v>
      </c>
      <c r="E22" s="4" t="s">
        <v>146</v>
      </c>
    </row>
    <row r="23" spans="1:5">
      <c r="A23" s="4">
        <v>77022</v>
      </c>
      <c r="B23" s="4">
        <v>1009</v>
      </c>
      <c r="C23" s="4">
        <v>16</v>
      </c>
      <c r="D23" s="4">
        <v>20240211</v>
      </c>
      <c r="E23" s="4" t="s">
        <v>645</v>
      </c>
    </row>
    <row r="24" spans="1:5">
      <c r="A24" s="4">
        <v>77023</v>
      </c>
      <c r="B24" s="4">
        <v>1001</v>
      </c>
      <c r="C24" s="4">
        <v>9</v>
      </c>
      <c r="D24" s="4">
        <v>20240219</v>
      </c>
      <c r="E24" s="4" t="s">
        <v>146</v>
      </c>
    </row>
    <row r="25" spans="1:5">
      <c r="A25" s="4">
        <v>77024</v>
      </c>
      <c r="B25" s="4">
        <v>1049</v>
      </c>
      <c r="C25" s="4">
        <v>9</v>
      </c>
      <c r="D25" s="4">
        <v>20240212</v>
      </c>
      <c r="E25" s="4" t="s">
        <v>146</v>
      </c>
    </row>
    <row r="26" spans="1:5">
      <c r="A26" s="4">
        <v>77025</v>
      </c>
      <c r="B26" s="4">
        <v>1047</v>
      </c>
      <c r="C26" s="4">
        <v>19</v>
      </c>
      <c r="D26" s="4">
        <v>20240102</v>
      </c>
      <c r="E26" s="4" t="s">
        <v>146</v>
      </c>
    </row>
    <row r="27" spans="1:5">
      <c r="A27" s="4">
        <v>77026</v>
      </c>
      <c r="B27" s="4">
        <v>1024</v>
      </c>
      <c r="C27" s="4">
        <v>8</v>
      </c>
      <c r="D27" s="4">
        <v>20240108</v>
      </c>
      <c r="E27" s="4" t="s">
        <v>645</v>
      </c>
    </row>
    <row r="28" spans="1:5">
      <c r="A28" s="4">
        <v>77027</v>
      </c>
      <c r="B28" s="4">
        <v>1030</v>
      </c>
      <c r="C28" s="4">
        <v>10</v>
      </c>
      <c r="D28" s="4">
        <v>20240121</v>
      </c>
      <c r="E28" s="4" t="s">
        <v>146</v>
      </c>
    </row>
    <row r="29" spans="1:5">
      <c r="A29" s="4">
        <v>77028</v>
      </c>
      <c r="B29" s="4">
        <v>1033</v>
      </c>
      <c r="C29" s="4">
        <v>10</v>
      </c>
      <c r="D29" s="4">
        <v>20240329</v>
      </c>
      <c r="E29" s="4" t="s">
        <v>146</v>
      </c>
    </row>
    <row r="30" spans="1:5">
      <c r="A30" s="4">
        <v>77029</v>
      </c>
      <c r="B30" s="4">
        <v>1059</v>
      </c>
      <c r="C30" s="4">
        <v>10</v>
      </c>
      <c r="D30" s="4">
        <v>20240217</v>
      </c>
      <c r="E30" s="4" t="s">
        <v>645</v>
      </c>
    </row>
    <row r="31" spans="1:5">
      <c r="A31" s="4">
        <v>77030</v>
      </c>
      <c r="B31" s="4">
        <v>1015</v>
      </c>
      <c r="C31" s="4">
        <v>5</v>
      </c>
      <c r="D31" s="4">
        <v>20240302</v>
      </c>
      <c r="E31" s="4" t="s">
        <v>146</v>
      </c>
    </row>
    <row r="32" spans="1:5">
      <c r="A32" s="4">
        <v>77031</v>
      </c>
      <c r="B32" s="4">
        <v>1048</v>
      </c>
      <c r="C32" s="4">
        <v>20</v>
      </c>
      <c r="D32" s="4">
        <v>20240217</v>
      </c>
      <c r="E32" s="4" t="s">
        <v>146</v>
      </c>
    </row>
    <row r="33" spans="1:5">
      <c r="A33" s="4">
        <v>77032</v>
      </c>
      <c r="B33" s="4">
        <v>1036</v>
      </c>
      <c r="C33" s="4">
        <v>16</v>
      </c>
      <c r="D33" s="4">
        <v>20240406</v>
      </c>
      <c r="E33" s="4" t="s">
        <v>146</v>
      </c>
    </row>
    <row r="34" spans="1:5">
      <c r="A34" s="4">
        <v>77033</v>
      </c>
      <c r="B34" s="4">
        <v>1043</v>
      </c>
      <c r="C34" s="4">
        <v>7</v>
      </c>
      <c r="D34" s="4">
        <v>20240407</v>
      </c>
      <c r="E34" s="4" t="s">
        <v>146</v>
      </c>
    </row>
    <row r="35" spans="1:5">
      <c r="A35" s="4">
        <v>77034</v>
      </c>
      <c r="B35" s="4">
        <v>1049</v>
      </c>
      <c r="C35" s="4">
        <v>20</v>
      </c>
      <c r="D35" s="4">
        <v>20240111</v>
      </c>
      <c r="E35" s="4" t="s">
        <v>146</v>
      </c>
    </row>
    <row r="36" spans="1:5">
      <c r="A36" s="4">
        <v>77035</v>
      </c>
      <c r="B36" s="4">
        <v>1034</v>
      </c>
      <c r="C36" s="4">
        <v>12</v>
      </c>
      <c r="D36" s="4">
        <v>20240110</v>
      </c>
      <c r="E36" s="4" t="s">
        <v>645</v>
      </c>
    </row>
    <row r="37" spans="1:5">
      <c r="A37" s="4">
        <v>77036</v>
      </c>
      <c r="B37" s="4">
        <v>1008</v>
      </c>
      <c r="C37" s="4">
        <v>2</v>
      </c>
      <c r="D37" s="4">
        <v>20240311</v>
      </c>
      <c r="E37" s="4" t="s">
        <v>645</v>
      </c>
    </row>
    <row r="38" spans="1:5">
      <c r="A38" s="4">
        <v>77037</v>
      </c>
      <c r="B38" s="4">
        <v>1013</v>
      </c>
      <c r="C38" s="4">
        <v>19</v>
      </c>
      <c r="D38" s="4">
        <v>20240309</v>
      </c>
      <c r="E38" s="4" t="s">
        <v>146</v>
      </c>
    </row>
    <row r="39" spans="1:5">
      <c r="A39" s="4">
        <v>77038</v>
      </c>
      <c r="B39" s="4">
        <v>1021</v>
      </c>
      <c r="C39" s="4">
        <v>17</v>
      </c>
      <c r="D39" s="4">
        <v>20240226</v>
      </c>
      <c r="E39" s="4" t="s">
        <v>146</v>
      </c>
    </row>
    <row r="40" spans="1:5">
      <c r="A40" s="4">
        <v>77039</v>
      </c>
      <c r="B40" s="4">
        <v>1014</v>
      </c>
      <c r="C40" s="4">
        <v>19</v>
      </c>
      <c r="D40" s="4">
        <v>20240303</v>
      </c>
      <c r="E40" s="4" t="s">
        <v>146</v>
      </c>
    </row>
    <row r="41" spans="1:5">
      <c r="A41" s="4">
        <v>77040</v>
      </c>
      <c r="B41" s="4">
        <v>1033</v>
      </c>
      <c r="C41" s="4">
        <v>15</v>
      </c>
      <c r="D41" s="4">
        <v>20240108</v>
      </c>
      <c r="E41" s="4" t="s">
        <v>146</v>
      </c>
    </row>
    <row r="42" spans="1:5">
      <c r="A42" s="4">
        <v>77041</v>
      </c>
      <c r="B42" s="4">
        <v>1033</v>
      </c>
      <c r="C42" s="4">
        <v>14</v>
      </c>
      <c r="D42" s="4">
        <v>20240228</v>
      </c>
      <c r="E42" s="4" t="s">
        <v>146</v>
      </c>
    </row>
    <row r="43" spans="1:5">
      <c r="A43" s="4">
        <v>77042</v>
      </c>
      <c r="B43" s="4">
        <v>1036</v>
      </c>
      <c r="C43" s="4">
        <v>15</v>
      </c>
      <c r="D43" s="4">
        <v>20240327</v>
      </c>
      <c r="E43" s="4" t="s">
        <v>645</v>
      </c>
    </row>
    <row r="44" spans="1:5">
      <c r="A44" s="4">
        <v>77043</v>
      </c>
      <c r="B44" s="4">
        <v>1047</v>
      </c>
      <c r="C44" s="4">
        <v>1</v>
      </c>
      <c r="D44" s="4">
        <v>20240220</v>
      </c>
      <c r="E44" s="4" t="s">
        <v>146</v>
      </c>
    </row>
    <row r="45" spans="1:5">
      <c r="A45" s="4">
        <v>77044</v>
      </c>
      <c r="B45" s="4">
        <v>1001</v>
      </c>
      <c r="C45" s="4">
        <v>7</v>
      </c>
      <c r="D45" s="4">
        <v>20240315</v>
      </c>
      <c r="E45" s="4" t="s">
        <v>146</v>
      </c>
    </row>
    <row r="46" spans="1:5">
      <c r="A46" s="4">
        <v>77045</v>
      </c>
      <c r="B46" s="4">
        <v>1028</v>
      </c>
      <c r="C46" s="4">
        <v>12</v>
      </c>
      <c r="D46" s="4">
        <v>20240330</v>
      </c>
      <c r="E46" s="4" t="s">
        <v>146</v>
      </c>
    </row>
    <row r="47" spans="1:5">
      <c r="A47" s="4">
        <v>77046</v>
      </c>
      <c r="B47" s="4">
        <v>1004</v>
      </c>
      <c r="C47" s="4">
        <v>3</v>
      </c>
      <c r="D47" s="4">
        <v>20240301</v>
      </c>
      <c r="E47" s="4" t="s">
        <v>146</v>
      </c>
    </row>
    <row r="48" spans="1:5">
      <c r="A48" s="4">
        <v>77047</v>
      </c>
      <c r="B48" s="4">
        <v>1027</v>
      </c>
      <c r="C48" s="4">
        <v>6</v>
      </c>
      <c r="D48" s="4">
        <v>20240408</v>
      </c>
      <c r="E48" s="4" t="s">
        <v>146</v>
      </c>
    </row>
    <row r="49" spans="1:5">
      <c r="A49" s="4">
        <v>77048</v>
      </c>
      <c r="B49" s="4">
        <v>1042</v>
      </c>
      <c r="C49" s="4">
        <v>14</v>
      </c>
      <c r="D49" s="4">
        <v>20240217</v>
      </c>
      <c r="E49" s="4" t="s">
        <v>645</v>
      </c>
    </row>
    <row r="50" spans="1:5">
      <c r="A50" s="4">
        <v>77049</v>
      </c>
      <c r="B50" s="4">
        <v>1025</v>
      </c>
      <c r="C50" s="4">
        <v>15</v>
      </c>
      <c r="D50" s="4">
        <v>20240218</v>
      </c>
      <c r="E50" s="4" t="s">
        <v>146</v>
      </c>
    </row>
    <row r="51" spans="1:5">
      <c r="A51" s="4">
        <v>77050</v>
      </c>
      <c r="B51" s="4">
        <v>1044</v>
      </c>
      <c r="C51" s="4">
        <v>18</v>
      </c>
      <c r="D51" s="4">
        <v>20240118</v>
      </c>
      <c r="E51" s="4" t="s">
        <v>645</v>
      </c>
    </row>
    <row r="52" spans="1:5">
      <c r="A52" s="4">
        <v>77051</v>
      </c>
      <c r="B52" s="4">
        <v>1023</v>
      </c>
      <c r="C52" s="4">
        <v>4</v>
      </c>
      <c r="D52" s="4">
        <v>20240123</v>
      </c>
      <c r="E52" s="4" t="s">
        <v>645</v>
      </c>
    </row>
    <row r="53" spans="1:5">
      <c r="A53" s="4">
        <v>77052</v>
      </c>
      <c r="B53" s="4">
        <v>1026</v>
      </c>
      <c r="C53" s="4">
        <v>17</v>
      </c>
      <c r="D53" s="4">
        <v>20240117</v>
      </c>
      <c r="E53" s="4" t="s">
        <v>645</v>
      </c>
    </row>
    <row r="54" spans="1:5">
      <c r="A54" s="4">
        <v>77053</v>
      </c>
      <c r="B54" s="4">
        <v>1015</v>
      </c>
      <c r="C54" s="4">
        <v>1</v>
      </c>
      <c r="D54" s="4">
        <v>20240406</v>
      </c>
      <c r="E54" s="4" t="s">
        <v>146</v>
      </c>
    </row>
    <row r="55" spans="1:5">
      <c r="A55" s="4">
        <v>77054</v>
      </c>
      <c r="B55" s="4">
        <v>1020</v>
      </c>
      <c r="C55" s="4">
        <v>15</v>
      </c>
      <c r="D55" s="4">
        <v>20240327</v>
      </c>
      <c r="E55" s="4" t="s">
        <v>645</v>
      </c>
    </row>
    <row r="56" spans="1:5">
      <c r="A56" s="4">
        <v>77055</v>
      </c>
      <c r="B56" s="4">
        <v>1028</v>
      </c>
      <c r="C56" s="4">
        <v>18</v>
      </c>
      <c r="D56" s="4">
        <v>20240218</v>
      </c>
      <c r="E56" s="4" t="s">
        <v>645</v>
      </c>
    </row>
    <row r="57" spans="1:5">
      <c r="A57" s="4">
        <v>77056</v>
      </c>
      <c r="B57" s="4">
        <v>1016</v>
      </c>
      <c r="C57" s="4">
        <v>15</v>
      </c>
      <c r="D57" s="4">
        <v>20240214</v>
      </c>
      <c r="E57" s="4" t="s">
        <v>146</v>
      </c>
    </row>
    <row r="58" spans="1:5">
      <c r="A58" s="4">
        <v>77057</v>
      </c>
      <c r="B58" s="4">
        <v>1013</v>
      </c>
      <c r="C58" s="4">
        <v>4</v>
      </c>
      <c r="D58" s="4">
        <v>20240105</v>
      </c>
      <c r="E58" s="4" t="s">
        <v>645</v>
      </c>
    </row>
    <row r="59" spans="1:5">
      <c r="A59" s="4">
        <v>77058</v>
      </c>
      <c r="B59" s="4">
        <v>1027</v>
      </c>
      <c r="C59" s="4">
        <v>20</v>
      </c>
      <c r="D59" s="4">
        <v>20240408</v>
      </c>
      <c r="E59" s="4" t="s">
        <v>645</v>
      </c>
    </row>
    <row r="60" spans="1:5">
      <c r="A60" s="4">
        <v>77059</v>
      </c>
      <c r="B60" s="4">
        <v>1057</v>
      </c>
      <c r="C60" s="4">
        <v>1</v>
      </c>
      <c r="D60" s="4">
        <v>20240131</v>
      </c>
      <c r="E60" s="4" t="s">
        <v>146</v>
      </c>
    </row>
    <row r="61" spans="1:5">
      <c r="A61" s="4">
        <v>77060</v>
      </c>
      <c r="B61" s="4">
        <v>1007</v>
      </c>
      <c r="C61" s="4">
        <v>20</v>
      </c>
      <c r="D61" s="4">
        <v>20240105</v>
      </c>
      <c r="E61" s="4" t="s">
        <v>146</v>
      </c>
    </row>
    <row r="62" spans="1:5">
      <c r="A62" s="4">
        <v>77061</v>
      </c>
      <c r="B62" s="4">
        <v>1044</v>
      </c>
      <c r="C62" s="4">
        <v>2</v>
      </c>
      <c r="D62" s="4">
        <v>20240201</v>
      </c>
      <c r="E62" s="4" t="s">
        <v>645</v>
      </c>
    </row>
    <row r="63" spans="1:5">
      <c r="A63" s="4">
        <v>77062</v>
      </c>
      <c r="B63" s="4">
        <v>1026</v>
      </c>
      <c r="C63" s="4">
        <v>15</v>
      </c>
      <c r="D63" s="4">
        <v>20240130</v>
      </c>
      <c r="E63" s="4" t="s">
        <v>146</v>
      </c>
    </row>
    <row r="64" spans="1:5">
      <c r="A64" s="4">
        <v>77063</v>
      </c>
      <c r="B64" s="4">
        <v>1049</v>
      </c>
      <c r="C64" s="4">
        <v>2</v>
      </c>
      <c r="D64" s="4">
        <v>20240118</v>
      </c>
      <c r="E64" s="4" t="s">
        <v>146</v>
      </c>
    </row>
    <row r="65" spans="1:5">
      <c r="A65" s="4">
        <v>77064</v>
      </c>
      <c r="B65" s="4">
        <v>1019</v>
      </c>
      <c r="C65" s="4">
        <v>8</v>
      </c>
      <c r="D65" s="4">
        <v>20240403</v>
      </c>
      <c r="E65" s="4" t="s">
        <v>146</v>
      </c>
    </row>
    <row r="66" spans="1:5">
      <c r="A66" s="4">
        <v>77065</v>
      </c>
      <c r="B66" s="4">
        <v>1037</v>
      </c>
      <c r="C66" s="4">
        <v>20</v>
      </c>
      <c r="D66" s="4">
        <v>20240408</v>
      </c>
      <c r="E66" s="4" t="s">
        <v>645</v>
      </c>
    </row>
    <row r="67" spans="1:5">
      <c r="A67" s="4">
        <v>77066</v>
      </c>
      <c r="B67" s="4">
        <v>1021</v>
      </c>
      <c r="C67" s="4">
        <v>8</v>
      </c>
      <c r="D67" s="4">
        <v>20240208</v>
      </c>
      <c r="E67" s="4" t="s">
        <v>645</v>
      </c>
    </row>
    <row r="68" spans="1:5">
      <c r="A68" s="4">
        <v>77067</v>
      </c>
      <c r="B68" s="4">
        <v>1043</v>
      </c>
      <c r="C68" s="4">
        <v>17</v>
      </c>
      <c r="D68" s="4">
        <v>20240129</v>
      </c>
      <c r="E68" s="4" t="s">
        <v>146</v>
      </c>
    </row>
    <row r="69" spans="1:5">
      <c r="A69" s="4">
        <v>77068</v>
      </c>
      <c r="B69" s="4">
        <v>1018</v>
      </c>
      <c r="C69" s="4">
        <v>2</v>
      </c>
      <c r="D69" s="4">
        <v>20240312</v>
      </c>
      <c r="E69" s="4" t="s">
        <v>645</v>
      </c>
    </row>
    <row r="70" spans="1:5">
      <c r="A70" s="4">
        <v>77069</v>
      </c>
      <c r="B70" s="4">
        <v>1057</v>
      </c>
      <c r="C70" s="4">
        <v>6</v>
      </c>
      <c r="D70" s="4">
        <v>20240321</v>
      </c>
      <c r="E70" s="4" t="s">
        <v>645</v>
      </c>
    </row>
    <row r="71" spans="1:5">
      <c r="A71" s="4">
        <v>77070</v>
      </c>
      <c r="B71" s="4">
        <v>1036</v>
      </c>
      <c r="C71" s="4">
        <v>16</v>
      </c>
      <c r="D71" s="4">
        <v>20240107</v>
      </c>
      <c r="E71" s="4" t="s">
        <v>645</v>
      </c>
    </row>
    <row r="72" spans="1:5">
      <c r="A72" s="4">
        <v>77071</v>
      </c>
      <c r="B72" s="4">
        <v>1042</v>
      </c>
      <c r="C72" s="4">
        <v>13</v>
      </c>
      <c r="D72" s="4">
        <v>20240308</v>
      </c>
      <c r="E72" s="4" t="s">
        <v>146</v>
      </c>
    </row>
    <row r="73" spans="1:5">
      <c r="A73" s="4">
        <v>77072</v>
      </c>
      <c r="B73" s="4">
        <v>1027</v>
      </c>
      <c r="C73" s="4">
        <v>14</v>
      </c>
      <c r="D73" s="4">
        <v>20240120</v>
      </c>
      <c r="E73" s="4" t="s">
        <v>146</v>
      </c>
    </row>
    <row r="74" spans="1:5">
      <c r="A74" s="4">
        <v>77073</v>
      </c>
      <c r="B74" s="4">
        <v>1012</v>
      </c>
      <c r="C74" s="4">
        <v>18</v>
      </c>
      <c r="D74" s="4">
        <v>20240301</v>
      </c>
      <c r="E74" s="4" t="s">
        <v>146</v>
      </c>
    </row>
    <row r="75" spans="1:5">
      <c r="A75" s="4">
        <v>77074</v>
      </c>
      <c r="B75" s="4">
        <v>1015</v>
      </c>
      <c r="C75" s="4">
        <v>10</v>
      </c>
      <c r="D75" s="4">
        <v>20240331</v>
      </c>
      <c r="E75" s="4" t="s">
        <v>146</v>
      </c>
    </row>
    <row r="76" spans="1:5">
      <c r="A76" s="4">
        <v>77075</v>
      </c>
      <c r="B76" s="4">
        <v>1030</v>
      </c>
      <c r="C76" s="4">
        <v>2</v>
      </c>
      <c r="D76" s="4">
        <v>20240312</v>
      </c>
      <c r="E76" s="4" t="s">
        <v>146</v>
      </c>
    </row>
    <row r="77" spans="1:5">
      <c r="A77" s="4">
        <v>77076</v>
      </c>
      <c r="B77" s="4">
        <v>1027</v>
      </c>
      <c r="C77" s="4">
        <v>18</v>
      </c>
      <c r="D77" s="4">
        <v>20240308</v>
      </c>
      <c r="E77" s="4" t="s">
        <v>146</v>
      </c>
    </row>
    <row r="78" spans="1:5">
      <c r="A78" s="4">
        <v>77077</v>
      </c>
      <c r="B78" s="4">
        <v>1016</v>
      </c>
      <c r="C78" s="4">
        <v>9</v>
      </c>
      <c r="D78" s="4">
        <v>20240127</v>
      </c>
      <c r="E78" s="4" t="s">
        <v>146</v>
      </c>
    </row>
    <row r="79" spans="1:5">
      <c r="A79" s="4">
        <v>77078</v>
      </c>
      <c r="B79" s="4">
        <v>1006</v>
      </c>
      <c r="C79" s="4">
        <v>15</v>
      </c>
      <c r="D79" s="4">
        <v>20240217</v>
      </c>
      <c r="E79" s="4" t="s">
        <v>146</v>
      </c>
    </row>
    <row r="80" spans="1:5">
      <c r="A80" s="4">
        <v>77079</v>
      </c>
      <c r="B80" s="4">
        <v>1047</v>
      </c>
      <c r="C80" s="4">
        <v>7</v>
      </c>
      <c r="D80" s="4">
        <v>20240107</v>
      </c>
      <c r="E80" s="4" t="s">
        <v>146</v>
      </c>
    </row>
    <row r="81" spans="1:5">
      <c r="A81" s="4">
        <v>77080</v>
      </c>
      <c r="B81" s="4">
        <v>1044</v>
      </c>
      <c r="C81" s="4">
        <v>20</v>
      </c>
      <c r="D81" s="4">
        <v>20240318</v>
      </c>
      <c r="E81" s="4" t="s">
        <v>146</v>
      </c>
    </row>
    <row r="82" spans="1:5">
      <c r="A82" s="4">
        <v>77081</v>
      </c>
      <c r="B82" s="4">
        <v>1005</v>
      </c>
      <c r="C82" s="4">
        <v>7</v>
      </c>
      <c r="D82" s="4">
        <v>20240407</v>
      </c>
      <c r="E82" s="4" t="s">
        <v>146</v>
      </c>
    </row>
    <row r="83" spans="1:5">
      <c r="A83" s="4">
        <v>77082</v>
      </c>
      <c r="B83" s="4">
        <v>1043</v>
      </c>
      <c r="C83" s="4">
        <v>18</v>
      </c>
      <c r="D83" s="4">
        <v>20240128</v>
      </c>
      <c r="E83" s="4" t="s">
        <v>146</v>
      </c>
    </row>
    <row r="84" spans="1:5">
      <c r="A84" s="4">
        <v>77083</v>
      </c>
      <c r="B84" s="4">
        <v>1056</v>
      </c>
      <c r="C84" s="4">
        <v>11</v>
      </c>
      <c r="D84" s="4">
        <v>20240208</v>
      </c>
      <c r="E84" s="4" t="s">
        <v>645</v>
      </c>
    </row>
    <row r="85" spans="1:5">
      <c r="A85" s="4">
        <v>77084</v>
      </c>
      <c r="B85" s="4">
        <v>1001</v>
      </c>
      <c r="C85" s="4">
        <v>7</v>
      </c>
      <c r="D85" s="4">
        <v>20240125</v>
      </c>
      <c r="E85" s="4" t="s">
        <v>645</v>
      </c>
    </row>
    <row r="86" spans="1:5">
      <c r="A86" s="4">
        <v>77085</v>
      </c>
      <c r="B86" s="4">
        <v>1008</v>
      </c>
      <c r="C86" s="4">
        <v>16</v>
      </c>
      <c r="D86" s="4">
        <v>20240201</v>
      </c>
      <c r="E86" s="4" t="s">
        <v>645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Questions for LLM</vt:lpstr>
      <vt:lpstr>schema</vt:lpstr>
      <vt:lpstr>fact_disputes</vt:lpstr>
      <vt:lpstr>fact_self_inquiries</vt:lpstr>
      <vt:lpstr>fact_legal_actions</vt:lpstr>
      <vt:lpstr>dim_customer</vt:lpstr>
      <vt:lpstr>dim_lender</vt:lpstr>
      <vt:lpstr>dim_date</vt:lpstr>
      <vt:lpstr>dim_account_type</vt:lpstr>
      <vt:lpstr>fact_tradeline</vt:lpstr>
      <vt:lpstr>fact_payment_history</vt:lpstr>
      <vt:lpstr>fact_collections</vt:lpstr>
      <vt:lpstr>fact_credit_score</vt:lpstr>
      <vt:lpstr>fact_score_factors</vt:lpstr>
      <vt:lpstr>fact_inquiries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RAEF, DANA</cp:lastModifiedBy>
  <cp:revision>0</cp:revision>
  <dcterms:created xsi:type="dcterms:W3CDTF">2026-08-05T14:55:57Z</dcterms:created>
  <dcterms:modified xsi:type="dcterms:W3CDTF">2026-08-06T11:21:20Z</dcterms:modified>
  <dc:language>en-US</dc:language>
</cp:coreProperties>
</file>